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customProperty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C:\Users\cz\Desktop\100+ Premium Excel Templates-20230624T054534Z-001\100+ Premium Excel Templates\General Templates\"/>
    </mc:Choice>
  </mc:AlternateContent>
  <xr:revisionPtr revIDLastSave="0" documentId="13_ncr:1_{51B91BF8-5C44-4723-B2E0-D2E55DB8DD58}" xr6:coauthVersionLast="47" xr6:coauthVersionMax="47" xr10:uidLastSave="{00000000-0000-0000-0000-000000000000}"/>
  <bookViews>
    <workbookView xWindow="-120" yWindow="-120" windowWidth="20730" windowHeight="11160" xr2:uid="{73097E03-4C65-4EA6-ABDF-EA362E770085}"/>
  </bookViews>
  <sheets>
    <sheet name="Introduction" sheetId="6" r:id="rId1"/>
    <sheet name="Dashboard" sheetId="10" r:id="rId2"/>
    <sheet name="Sheet1" sheetId="13" state="hidden" r:id="rId3"/>
    <sheet name="COVID-19 Tracker" sheetId="1" r:id="rId4"/>
    <sheet name="COVID-19 Cases" sheetId="9" r:id="rId5"/>
    <sheet name="Database" sheetId="7" r:id="rId6"/>
  </sheets>
  <definedNames>
    <definedName name="_aaa1" hidden="1">{#N/A,#N/A,FALSE,"Antony Financials";#N/A,#N/A,FALSE,"Cowboy Financials";#N/A,#N/A,FALSE,"Combined";#N/A,#N/A,FALSE,"Valuematrix";#N/A,#N/A,FALSE,"DCFAntony";#N/A,#N/A,FALSE,"DCFCowboy";#N/A,#N/A,FALSE,"DCFCombined"}</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epartment">OFFSET(Database!$J$5,0,0,COUNTA(Database!$J:$J)-1,1)</definedName>
    <definedName name="df" hidden="1">{"'Summary P&amp;L'!$A$1:$M$70","'Summary P&amp;L'!$A$1:$M$70"}</definedName>
    <definedName name="Employee">OFFSET(Database!$B$5,0,0,COUNTA(Database!$B:$B)-1,1)</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ui" hidden="1">{#N/A,#N/A,FALSE,"A&amp;E";#N/A,#N/A,FALSE,"HighTop";#N/A,#N/A,FALSE,"JG";#N/A,#N/A,FALSE,"RI";#N/A,#N/A,FALSE,"woHT";#N/A,#N/A,FALSE,"woHT&amp;JG"}</definedName>
    <definedName name="j" hidden="1">{"standalone1",#N/A,FALSE,"DCFBase";"standalone2",#N/A,FALSE,"DCFBase"}</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NativeTimeline_Date">#N/A</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licer_Case_Decision">#N/A</definedName>
    <definedName name="Slicer_Department1">#N/A</definedName>
    <definedName name="Slicer_Employee_Name">#N/A</definedName>
    <definedName name="Symptom">OFFSET(Database!$P$5,0,0,COUNTA(Database!$P:$P)-1,1)</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4" i="9" l="1"/>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0" i="9"/>
  <c r="A621" i="9"/>
  <c r="A622" i="9"/>
  <c r="A623" i="9"/>
  <c r="A624" i="9"/>
  <c r="A625" i="9"/>
  <c r="A626" i="9"/>
  <c r="A627" i="9"/>
  <c r="A628" i="9"/>
  <c r="A629" i="9"/>
  <c r="A630" i="9"/>
  <c r="A631" i="9"/>
  <c r="A632" i="9"/>
  <c r="A633" i="9"/>
  <c r="A634" i="9"/>
  <c r="A635" i="9"/>
  <c r="A636" i="9"/>
  <c r="A637" i="9"/>
  <c r="A638" i="9"/>
  <c r="A639" i="9"/>
  <c r="A640" i="9"/>
  <c r="A641" i="9"/>
  <c r="A642" i="9"/>
  <c r="A643" i="9"/>
  <c r="A644" i="9"/>
  <c r="A645" i="9"/>
  <c r="A646" i="9"/>
  <c r="A647" i="9"/>
  <c r="A648" i="9"/>
  <c r="A649" i="9"/>
  <c r="A650" i="9"/>
  <c r="A651" i="9"/>
  <c r="A652" i="9"/>
  <c r="A653" i="9"/>
  <c r="A654" i="9"/>
  <c r="A655" i="9"/>
  <c r="A656" i="9"/>
  <c r="A657" i="9"/>
  <c r="A658" i="9"/>
  <c r="A659" i="9"/>
  <c r="A660" i="9"/>
  <c r="A661" i="9"/>
  <c r="A662" i="9"/>
  <c r="A663" i="9"/>
  <c r="A664" i="9"/>
  <c r="A665" i="9"/>
  <c r="A666" i="9"/>
  <c r="A667" i="9"/>
  <c r="A668" i="9"/>
  <c r="A669" i="9"/>
  <c r="A670" i="9"/>
  <c r="A671" i="9"/>
  <c r="A672" i="9"/>
  <c r="A673" i="9"/>
  <c r="A674" i="9"/>
  <c r="A675" i="9"/>
  <c r="A676" i="9"/>
  <c r="A677" i="9"/>
  <c r="A678" i="9"/>
  <c r="A679" i="9"/>
  <c r="A680" i="9"/>
  <c r="A681" i="9"/>
  <c r="A682" i="9"/>
  <c r="A683" i="9"/>
  <c r="A684" i="9"/>
  <c r="A685" i="9"/>
  <c r="A686" i="9"/>
  <c r="A687" i="9"/>
  <c r="A688" i="9"/>
  <c r="A689" i="9"/>
  <c r="A690" i="9"/>
  <c r="A691" i="9"/>
  <c r="A692" i="9"/>
  <c r="A693" i="9"/>
  <c r="A694" i="9"/>
  <c r="A695" i="9"/>
  <c r="A696" i="9"/>
  <c r="A697" i="9"/>
  <c r="A698" i="9"/>
  <c r="A699" i="9"/>
  <c r="A700" i="9"/>
  <c r="A701" i="9"/>
  <c r="A702" i="9"/>
  <c r="A703" i="9"/>
  <c r="A704" i="9"/>
  <c r="A705" i="9"/>
  <c r="A706" i="9"/>
  <c r="A707" i="9"/>
  <c r="A708" i="9"/>
  <c r="A709" i="9"/>
  <c r="A710" i="9"/>
  <c r="A711" i="9"/>
  <c r="A712" i="9"/>
  <c r="A713" i="9"/>
  <c r="A714" i="9"/>
  <c r="A715" i="9"/>
  <c r="A716" i="9"/>
  <c r="A717" i="9"/>
  <c r="A718" i="9"/>
  <c r="A719" i="9"/>
  <c r="A720" i="9"/>
  <c r="A721" i="9"/>
  <c r="A722" i="9"/>
  <c r="A723" i="9"/>
  <c r="A724" i="9"/>
  <c r="A725" i="9"/>
  <c r="A726" i="9"/>
  <c r="A727" i="9"/>
  <c r="A728" i="9"/>
  <c r="A729" i="9"/>
  <c r="A730" i="9"/>
  <c r="A731" i="9"/>
  <c r="A732" i="9"/>
  <c r="A733" i="9"/>
  <c r="A734" i="9"/>
  <c r="A735" i="9"/>
  <c r="A736" i="9"/>
  <c r="A737" i="9"/>
  <c r="A738" i="9"/>
  <c r="A739" i="9"/>
  <c r="A740" i="9"/>
  <c r="A741" i="9"/>
  <c r="A742" i="9"/>
  <c r="A743" i="9"/>
  <c r="A744" i="9"/>
  <c r="A745" i="9"/>
  <c r="A746" i="9"/>
  <c r="A747" i="9"/>
  <c r="A748" i="9"/>
  <c r="A749" i="9"/>
  <c r="A750" i="9"/>
  <c r="A751" i="9"/>
  <c r="A752" i="9"/>
  <c r="A753" i="9"/>
  <c r="A754" i="9"/>
  <c r="A755" i="9"/>
  <c r="A756" i="9"/>
  <c r="A757" i="9"/>
  <c r="A758" i="9"/>
  <c r="A759" i="9"/>
  <c r="A760" i="9"/>
  <c r="A761" i="9"/>
  <c r="A762" i="9"/>
  <c r="A763" i="9"/>
  <c r="A764" i="9"/>
  <c r="A765" i="9"/>
  <c r="A766" i="9"/>
  <c r="A767" i="9"/>
  <c r="A768" i="9"/>
  <c r="A769" i="9"/>
  <c r="A770" i="9"/>
  <c r="A771" i="9"/>
  <c r="A772" i="9"/>
  <c r="A773" i="9"/>
  <c r="A774" i="9"/>
  <c r="A775" i="9"/>
  <c r="A776" i="9"/>
  <c r="A777" i="9"/>
  <c r="A778" i="9"/>
  <c r="A779" i="9"/>
  <c r="A780" i="9"/>
  <c r="A781" i="9"/>
  <c r="A782" i="9"/>
  <c r="A783" i="9"/>
  <c r="A784" i="9"/>
  <c r="A785" i="9"/>
  <c r="A786" i="9"/>
  <c r="A787" i="9"/>
  <c r="A788" i="9"/>
  <c r="A789" i="9"/>
  <c r="A790" i="9"/>
  <c r="A791" i="9"/>
  <c r="A792" i="9"/>
  <c r="A793" i="9"/>
  <c r="A794" i="9"/>
  <c r="A795" i="9"/>
  <c r="A796" i="9"/>
  <c r="A797" i="9"/>
  <c r="A798" i="9"/>
  <c r="A799" i="9"/>
  <c r="A800" i="9"/>
  <c r="A801" i="9"/>
  <c r="A802" i="9"/>
  <c r="A803" i="9"/>
  <c r="A804" i="9"/>
  <c r="A805" i="9"/>
  <c r="A806" i="9"/>
  <c r="A807" i="9"/>
  <c r="A808" i="9"/>
  <c r="A809" i="9"/>
  <c r="A810" i="9"/>
  <c r="A811" i="9"/>
  <c r="A812" i="9"/>
  <c r="A813" i="9"/>
  <c r="A814" i="9"/>
  <c r="A815" i="9"/>
  <c r="A816" i="9"/>
  <c r="A817" i="9"/>
  <c r="A818" i="9"/>
  <c r="A819" i="9"/>
  <c r="A820" i="9"/>
  <c r="A821" i="9"/>
  <c r="A822" i="9"/>
  <c r="A823" i="9"/>
  <c r="A824" i="9"/>
  <c r="A825" i="9"/>
  <c r="A826" i="9"/>
  <c r="A827" i="9"/>
  <c r="A828" i="9"/>
  <c r="A829" i="9"/>
  <c r="A830" i="9"/>
  <c r="A831" i="9"/>
  <c r="A832" i="9"/>
  <c r="A833" i="9"/>
  <c r="A834" i="9"/>
  <c r="A835" i="9"/>
  <c r="A836" i="9"/>
  <c r="A837" i="9"/>
  <c r="A838" i="9"/>
  <c r="A839" i="9"/>
  <c r="A840" i="9"/>
  <c r="A841" i="9"/>
  <c r="A842" i="9"/>
  <c r="A843" i="9"/>
  <c r="A844" i="9"/>
  <c r="A845" i="9"/>
  <c r="A846" i="9"/>
  <c r="A847" i="9"/>
  <c r="A848" i="9"/>
  <c r="A849" i="9"/>
  <c r="A850" i="9"/>
  <c r="A851" i="9"/>
  <c r="A852" i="9"/>
  <c r="A853" i="9"/>
  <c r="A854" i="9"/>
  <c r="A855" i="9"/>
  <c r="A856" i="9"/>
  <c r="A857" i="9"/>
  <c r="A858" i="9"/>
  <c r="A859" i="9"/>
  <c r="A860" i="9"/>
  <c r="A861" i="9"/>
  <c r="A862" i="9"/>
  <c r="A863" i="9"/>
  <c r="A864" i="9"/>
  <c r="A865" i="9"/>
  <c r="A866" i="9"/>
  <c r="A867" i="9"/>
  <c r="A868" i="9"/>
  <c r="A869" i="9"/>
  <c r="A870" i="9"/>
  <c r="A871" i="9"/>
  <c r="A872" i="9"/>
  <c r="A873" i="9"/>
  <c r="A874" i="9"/>
  <c r="A875" i="9"/>
  <c r="A876" i="9"/>
  <c r="A877" i="9"/>
  <c r="A878" i="9"/>
  <c r="A879" i="9"/>
  <c r="A880" i="9"/>
  <c r="A881" i="9"/>
  <c r="A882" i="9"/>
  <c r="A883" i="9"/>
  <c r="A884" i="9"/>
  <c r="A885" i="9"/>
  <c r="A886" i="9"/>
  <c r="A887" i="9"/>
  <c r="A888" i="9"/>
  <c r="A889" i="9"/>
  <c r="A890" i="9"/>
  <c r="A891" i="9"/>
  <c r="A892" i="9"/>
  <c r="A893" i="9"/>
  <c r="A894" i="9"/>
  <c r="A895" i="9"/>
  <c r="A896" i="9"/>
  <c r="A897" i="9"/>
  <c r="A898" i="9"/>
  <c r="A899" i="9"/>
  <c r="A900" i="9"/>
  <c r="A901" i="9"/>
  <c r="A902" i="9"/>
  <c r="A903" i="9"/>
  <c r="A904" i="9"/>
  <c r="A905" i="9"/>
  <c r="A906" i="9"/>
  <c r="A907" i="9"/>
  <c r="A908" i="9"/>
  <c r="A909" i="9"/>
  <c r="A910" i="9"/>
  <c r="A911" i="9"/>
  <c r="A912" i="9"/>
  <c r="A913" i="9"/>
  <c r="A914" i="9"/>
  <c r="A915" i="9"/>
  <c r="A916" i="9"/>
  <c r="A917" i="9"/>
  <c r="A918" i="9"/>
  <c r="A919" i="9"/>
  <c r="A920" i="9"/>
  <c r="A921" i="9"/>
  <c r="A922" i="9"/>
  <c r="A923" i="9"/>
  <c r="A924" i="9"/>
  <c r="A925" i="9"/>
  <c r="A926" i="9"/>
  <c r="A927" i="9"/>
  <c r="A928" i="9"/>
  <c r="A929" i="9"/>
  <c r="A930" i="9"/>
  <c r="A931" i="9"/>
  <c r="A932" i="9"/>
  <c r="A933" i="9"/>
  <c r="A934" i="9"/>
  <c r="A935" i="9"/>
  <c r="A936" i="9"/>
  <c r="A937" i="9"/>
  <c r="A938" i="9"/>
  <c r="A939" i="9"/>
  <c r="A940" i="9"/>
  <c r="A941" i="9"/>
  <c r="A942" i="9"/>
  <c r="A943" i="9"/>
  <c r="A944" i="9"/>
  <c r="A945" i="9"/>
  <c r="A946" i="9"/>
  <c r="A947" i="9"/>
  <c r="A948" i="9"/>
  <c r="A949" i="9"/>
  <c r="A950" i="9"/>
  <c r="A951" i="9"/>
  <c r="A952" i="9"/>
  <c r="A953" i="9"/>
  <c r="A954" i="9"/>
  <c r="A955" i="9"/>
  <c r="A956" i="9"/>
  <c r="A957" i="9"/>
  <c r="A958" i="9"/>
  <c r="A959" i="9"/>
  <c r="A960" i="9"/>
  <c r="A961" i="9"/>
  <c r="A962" i="9"/>
  <c r="A963" i="9"/>
  <c r="A964" i="9"/>
  <c r="A965" i="9"/>
  <c r="A966" i="9"/>
  <c r="A967" i="9"/>
  <c r="A968" i="9"/>
  <c r="A969" i="9"/>
  <c r="A970" i="9"/>
  <c r="A971" i="9"/>
  <c r="A972" i="9"/>
  <c r="A973" i="9"/>
  <c r="A974" i="9"/>
  <c r="A975" i="9"/>
  <c r="A976" i="9"/>
  <c r="A977" i="9"/>
  <c r="A978" i="9"/>
  <c r="A979" i="9"/>
  <c r="A980" i="9"/>
  <c r="A981" i="9"/>
  <c r="A982" i="9"/>
  <c r="A983" i="9"/>
  <c r="A984" i="9"/>
  <c r="A985" i="9"/>
  <c r="A986" i="9"/>
  <c r="A987" i="9"/>
  <c r="A988" i="9"/>
  <c r="A989" i="9"/>
  <c r="A990" i="9"/>
  <c r="A991" i="9"/>
  <c r="A992" i="9"/>
  <c r="A993" i="9"/>
  <c r="A994" i="9"/>
  <c r="A995" i="9"/>
  <c r="A996" i="9"/>
  <c r="A997" i="9"/>
  <c r="A998" i="9"/>
  <c r="A999" i="9"/>
  <c r="A1000" i="9"/>
  <c r="A1001" i="9"/>
  <c r="A1002" i="9"/>
  <c r="A1003" i="9"/>
  <c r="A1004" i="9"/>
  <c r="A1005" i="9"/>
  <c r="A1006" i="9"/>
  <c r="A1007" i="9"/>
  <c r="A1008" i="9"/>
  <c r="A1009" i="9"/>
  <c r="A1010" i="9"/>
  <c r="A1011" i="9"/>
  <c r="A1012" i="9"/>
  <c r="A1013" i="9"/>
  <c r="A1014" i="9"/>
  <c r="A1015" i="9"/>
  <c r="A1016" i="9"/>
  <c r="A1017" i="9"/>
  <c r="A1018" i="9"/>
  <c r="A1019" i="9"/>
  <c r="A1020" i="9"/>
  <c r="A1021" i="9"/>
  <c r="A1022" i="9"/>
  <c r="A1023" i="9"/>
  <c r="A1024" i="9"/>
  <c r="A1025" i="9"/>
  <c r="A1026" i="9"/>
  <c r="A1027" i="9"/>
  <c r="A1028" i="9"/>
  <c r="A1029" i="9"/>
  <c r="A1030" i="9"/>
  <c r="A1031" i="9"/>
  <c r="A1032" i="9"/>
  <c r="A1033" i="9"/>
  <c r="A1034" i="9"/>
  <c r="A1035" i="9"/>
  <c r="A1036" i="9"/>
  <c r="A1037" i="9"/>
  <c r="A1038" i="9"/>
  <c r="A1039" i="9"/>
  <c r="A1040" i="9"/>
  <c r="A1041" i="9"/>
  <c r="A1042" i="9"/>
  <c r="A1043" i="9"/>
  <c r="A1044" i="9"/>
  <c r="A1045" i="9"/>
  <c r="A1046" i="9"/>
  <c r="A1047" i="9"/>
  <c r="A1048" i="9"/>
  <c r="A1049" i="9"/>
  <c r="A1050" i="9"/>
  <c r="A1051" i="9"/>
  <c r="A1052" i="9"/>
  <c r="A1053" i="9"/>
  <c r="A1054" i="9"/>
  <c r="A1055" i="9"/>
  <c r="A1056" i="9"/>
  <c r="A1057" i="9"/>
  <c r="A1058" i="9"/>
  <c r="A1059" i="9"/>
  <c r="A1060" i="9"/>
  <c r="A1061" i="9"/>
  <c r="A1062" i="9"/>
  <c r="A1063" i="9"/>
  <c r="A1064" i="9"/>
  <c r="A1065" i="9"/>
  <c r="A1066" i="9"/>
  <c r="A1067" i="9"/>
  <c r="A1068" i="9"/>
  <c r="A1069" i="9"/>
  <c r="A1070" i="9"/>
  <c r="A1071" i="9"/>
  <c r="A1072" i="9"/>
  <c r="A1073" i="9"/>
  <c r="A1074" i="9"/>
  <c r="A1075" i="9"/>
  <c r="A1076" i="9"/>
  <c r="A1077" i="9"/>
  <c r="A1078" i="9"/>
  <c r="A1079" i="9"/>
  <c r="A1080" i="9"/>
  <c r="A1081" i="9"/>
  <c r="A1082" i="9"/>
  <c r="A1083" i="9"/>
  <c r="A1084" i="9"/>
  <c r="A1085" i="9"/>
  <c r="A1086" i="9"/>
  <c r="A1087" i="9"/>
  <c r="A1088" i="9"/>
  <c r="A1089" i="9"/>
  <c r="A1090" i="9"/>
  <c r="A1091" i="9"/>
  <c r="A1092" i="9"/>
  <c r="A1093" i="9"/>
  <c r="A1094" i="9"/>
  <c r="A1095" i="9"/>
  <c r="A1096" i="9"/>
  <c r="A1097" i="9"/>
  <c r="A1098" i="9"/>
  <c r="A1099" i="9"/>
  <c r="A1100" i="9"/>
  <c r="A1101" i="9"/>
  <c r="A1102" i="9"/>
  <c r="A1103" i="9"/>
  <c r="A1104" i="9"/>
  <c r="A1105" i="9"/>
  <c r="A1106" i="9"/>
  <c r="A1107" i="9"/>
  <c r="A1108" i="9"/>
  <c r="A1109" i="9"/>
  <c r="A1110" i="9"/>
  <c r="A1111" i="9"/>
  <c r="A1112" i="9"/>
  <c r="A1113" i="9"/>
  <c r="A1114" i="9"/>
  <c r="A1115" i="9"/>
  <c r="A1116" i="9"/>
  <c r="A1117" i="9"/>
  <c r="A1118" i="9"/>
  <c r="A1119" i="9"/>
  <c r="A1120" i="9"/>
  <c r="A1121" i="9"/>
  <c r="A1122" i="9"/>
  <c r="A1123" i="9"/>
  <c r="A1124" i="9"/>
  <c r="A1125" i="9"/>
  <c r="A1126" i="9"/>
  <c r="A1127" i="9"/>
  <c r="A1128" i="9"/>
  <c r="A1129" i="9"/>
  <c r="A1130" i="9"/>
  <c r="A1131" i="9"/>
  <c r="A1132" i="9"/>
  <c r="A1133" i="9"/>
  <c r="A1134" i="9"/>
  <c r="A1135" i="9"/>
  <c r="A1136" i="9"/>
  <c r="A1137" i="9"/>
  <c r="A1138" i="9"/>
  <c r="A1139" i="9"/>
  <c r="A1140" i="9"/>
  <c r="A1141" i="9"/>
  <c r="A1142" i="9"/>
  <c r="A1143" i="9"/>
  <c r="A1144" i="9"/>
  <c r="A1145" i="9"/>
  <c r="A1146" i="9"/>
  <c r="A1147" i="9"/>
  <c r="A1148" i="9"/>
  <c r="A1149" i="9"/>
  <c r="A1150" i="9"/>
  <c r="A1151" i="9"/>
  <c r="A1152" i="9"/>
  <c r="A1153" i="9"/>
  <c r="A1154" i="9"/>
  <c r="A1155" i="9"/>
  <c r="A1156" i="9"/>
  <c r="A1157" i="9"/>
  <c r="A1158" i="9"/>
  <c r="A1159" i="9"/>
  <c r="A1160" i="9"/>
  <c r="A1161" i="9"/>
  <c r="A1162" i="9"/>
  <c r="A1163" i="9"/>
  <c r="A1164" i="9"/>
  <c r="A1165" i="9"/>
  <c r="A1166" i="9"/>
  <c r="A1167" i="9"/>
  <c r="A1168" i="9"/>
  <c r="A1169" i="9"/>
  <c r="A1170" i="9"/>
  <c r="A1171" i="9"/>
  <c r="A1172" i="9"/>
  <c r="A1173" i="9"/>
  <c r="A1174" i="9"/>
  <c r="A1175" i="9"/>
  <c r="A1176" i="9"/>
  <c r="A1177" i="9"/>
  <c r="A1178" i="9"/>
  <c r="A1179" i="9"/>
  <c r="A1180" i="9"/>
  <c r="A1181" i="9"/>
  <c r="A1182" i="9"/>
  <c r="A1183" i="9"/>
  <c r="A1184" i="9"/>
  <c r="A1185" i="9"/>
  <c r="A1186" i="9"/>
  <c r="A1187" i="9"/>
  <c r="A1188" i="9"/>
  <c r="A1189" i="9"/>
  <c r="A1190" i="9"/>
  <c r="A1191" i="9"/>
  <c r="A1192" i="9"/>
  <c r="A1193" i="9"/>
  <c r="A1194" i="9"/>
  <c r="A1195" i="9"/>
  <c r="A1196" i="9"/>
  <c r="A1197" i="9"/>
  <c r="A1198" i="9"/>
  <c r="A1199" i="9"/>
  <c r="A1200" i="9"/>
  <c r="A1201" i="9"/>
  <c r="A1202" i="9"/>
  <c r="A1203" i="9"/>
  <c r="A1204" i="9"/>
  <c r="A1205" i="9"/>
  <c r="A1206" i="9"/>
  <c r="A1207" i="9"/>
  <c r="A1208" i="9"/>
  <c r="A1209" i="9"/>
  <c r="A1210" i="9"/>
  <c r="A1211" i="9"/>
  <c r="A1212" i="9"/>
  <c r="A1213" i="9"/>
  <c r="A1214" i="9"/>
  <c r="A1215" i="9"/>
  <c r="A1216" i="9"/>
  <c r="A1217" i="9"/>
  <c r="A1218" i="9"/>
  <c r="A1219" i="9"/>
  <c r="A1220" i="9"/>
  <c r="A1221" i="9"/>
  <c r="A1222" i="9"/>
  <c r="A1223" i="9"/>
  <c r="A1224" i="9"/>
  <c r="A1225" i="9"/>
  <c r="A1226" i="9"/>
  <c r="A1227" i="9"/>
  <c r="A1228" i="9"/>
  <c r="A1229" i="9"/>
  <c r="A1230" i="9"/>
  <c r="A1231" i="9"/>
  <c r="A1232" i="9"/>
  <c r="A1233" i="9"/>
  <c r="A1234" i="9"/>
  <c r="A1235" i="9"/>
  <c r="A1236" i="9"/>
  <c r="A1237" i="9"/>
  <c r="A1238" i="9"/>
  <c r="A1239" i="9"/>
  <c r="A1240" i="9"/>
  <c r="A1241" i="9"/>
  <c r="A1242" i="9"/>
  <c r="A1243" i="9"/>
  <c r="A1244" i="9"/>
  <c r="A1245" i="9"/>
  <c r="A1246" i="9"/>
  <c r="A1247" i="9"/>
  <c r="A1248" i="9"/>
  <c r="A1249" i="9"/>
  <c r="A1250" i="9"/>
  <c r="A1251" i="9"/>
  <c r="A1252" i="9"/>
  <c r="A1253" i="9"/>
  <c r="A1254" i="9"/>
  <c r="A1255" i="9"/>
  <c r="A1256" i="9"/>
  <c r="A1257" i="9"/>
  <c r="A1258" i="9"/>
  <c r="A1259" i="9"/>
  <c r="A1260" i="9"/>
  <c r="A1261" i="9"/>
  <c r="A1262" i="9"/>
  <c r="A1263" i="9"/>
  <c r="A1264" i="9"/>
  <c r="A1265" i="9"/>
  <c r="A1266" i="9"/>
  <c r="A1267" i="9"/>
  <c r="A1268" i="9"/>
  <c r="A1269" i="9"/>
  <c r="A1270" i="9"/>
  <c r="A1271" i="9"/>
  <c r="A1272" i="9"/>
  <c r="A1273" i="9"/>
  <c r="A1274" i="9"/>
  <c r="A1275" i="9"/>
  <c r="A1276" i="9"/>
  <c r="A1277" i="9"/>
  <c r="A1278" i="9"/>
  <c r="A1279" i="9"/>
  <c r="A1280" i="9"/>
  <c r="A1281" i="9"/>
  <c r="A1282" i="9"/>
  <c r="A1283" i="9"/>
  <c r="A1284" i="9"/>
  <c r="A1285" i="9"/>
  <c r="A1286" i="9"/>
  <c r="A1287" i="9"/>
  <c r="A1288" i="9"/>
  <c r="A1289" i="9"/>
  <c r="A1290" i="9"/>
  <c r="A1291" i="9"/>
  <c r="A1292" i="9"/>
  <c r="A1293" i="9"/>
  <c r="A1294" i="9"/>
  <c r="A1295" i="9"/>
  <c r="A1296" i="9"/>
  <c r="A1297" i="9"/>
  <c r="A1298" i="9"/>
  <c r="A1299" i="9"/>
  <c r="A1300" i="9"/>
  <c r="A1301" i="9"/>
  <c r="A1302" i="9"/>
  <c r="A1303" i="9"/>
  <c r="A1304" i="9"/>
  <c r="A1305" i="9"/>
  <c r="A1306" i="9"/>
  <c r="A1307" i="9"/>
  <c r="A1308" i="9"/>
  <c r="A1309" i="9"/>
  <c r="A1310" i="9"/>
  <c r="A1311" i="9"/>
  <c r="A1312" i="9"/>
  <c r="A1313" i="9"/>
  <c r="A1314" i="9"/>
  <c r="A1315" i="9"/>
  <c r="A1316" i="9"/>
  <c r="A1317" i="9"/>
  <c r="A1318" i="9"/>
  <c r="A1319" i="9"/>
  <c r="A1320" i="9"/>
  <c r="A1321" i="9"/>
  <c r="A1322" i="9"/>
  <c r="A1323" i="9"/>
  <c r="A1324" i="9"/>
  <c r="A1325" i="9"/>
  <c r="A1326" i="9"/>
  <c r="A1327" i="9"/>
  <c r="A1328" i="9"/>
  <c r="A1329" i="9"/>
  <c r="A1330" i="9"/>
  <c r="A1331" i="9"/>
  <c r="A1332" i="9"/>
  <c r="A1333" i="9"/>
  <c r="A1334" i="9"/>
  <c r="A1335" i="9"/>
  <c r="A1336" i="9"/>
  <c r="A1337" i="9"/>
  <c r="A1338" i="9"/>
  <c r="A1339" i="9"/>
  <c r="A1340" i="9"/>
  <c r="A1341" i="9"/>
  <c r="A1342" i="9"/>
  <c r="A1343" i="9"/>
  <c r="A1344" i="9"/>
  <c r="A1345" i="9"/>
  <c r="A1346" i="9"/>
  <c r="A1347" i="9"/>
  <c r="A1348" i="9"/>
  <c r="A1349" i="9"/>
  <c r="A1350" i="9"/>
  <c r="A1351" i="9"/>
  <c r="A1352" i="9"/>
  <c r="A1353" i="9"/>
  <c r="A1354" i="9"/>
  <c r="A1355" i="9"/>
  <c r="A1356" i="9"/>
  <c r="A1357" i="9"/>
  <c r="A1358" i="9"/>
  <c r="A1359" i="9"/>
  <c r="A1360" i="9"/>
  <c r="A1361" i="9"/>
  <c r="A1362" i="9"/>
  <c r="A1363" i="9"/>
  <c r="A1364" i="9"/>
  <c r="A1365" i="9"/>
  <c r="A1366" i="9"/>
  <c r="A1367" i="9"/>
  <c r="A1368" i="9"/>
  <c r="A1369" i="9"/>
  <c r="A1370" i="9"/>
  <c r="A1371" i="9"/>
  <c r="A1372" i="9"/>
  <c r="A1373" i="9"/>
  <c r="A1374" i="9"/>
  <c r="A1375" i="9"/>
  <c r="A1376" i="9"/>
  <c r="A1377" i="9"/>
  <c r="A1378" i="9"/>
  <c r="A1379" i="9"/>
  <c r="A1380" i="9"/>
  <c r="A1381" i="9"/>
  <c r="A1382" i="9"/>
  <c r="A1383" i="9"/>
  <c r="A1384" i="9"/>
  <c r="A1385" i="9"/>
  <c r="A1386" i="9"/>
  <c r="A1387" i="9"/>
  <c r="A1388" i="9"/>
  <c r="A1389" i="9"/>
  <c r="A1390" i="9"/>
  <c r="A1391" i="9"/>
  <c r="A1392" i="9"/>
  <c r="A1393" i="9"/>
  <c r="A1394" i="9"/>
  <c r="A1395" i="9"/>
  <c r="A1396" i="9"/>
  <c r="A1397" i="9"/>
  <c r="A1398" i="9"/>
  <c r="A1399" i="9"/>
  <c r="A1400" i="9"/>
  <c r="A1401" i="9"/>
  <c r="A1402" i="9"/>
  <c r="A1403" i="9"/>
  <c r="A1404" i="9"/>
  <c r="A1405" i="9"/>
  <c r="A1406" i="9"/>
  <c r="A1407" i="9"/>
  <c r="A1408" i="9"/>
  <c r="A1409" i="9"/>
  <c r="A1410" i="9"/>
  <c r="A1411" i="9"/>
  <c r="A1412" i="9"/>
  <c r="A1413" i="9"/>
  <c r="A1414" i="9"/>
  <c r="A1415" i="9"/>
  <c r="A1416" i="9"/>
  <c r="A1417" i="9"/>
  <c r="A1418" i="9"/>
  <c r="A1419" i="9"/>
  <c r="A1420" i="9"/>
  <c r="A1421" i="9"/>
  <c r="A1422" i="9"/>
  <c r="A1423" i="9"/>
  <c r="A1424" i="9"/>
  <c r="A1425" i="9"/>
  <c r="A1426" i="9"/>
  <c r="A1427" i="9"/>
  <c r="A1428" i="9"/>
  <c r="A1429" i="9"/>
  <c r="A1430" i="9"/>
  <c r="A1431" i="9"/>
  <c r="A1432" i="9"/>
  <c r="A1433" i="9"/>
  <c r="A1434" i="9"/>
  <c r="A1435" i="9"/>
  <c r="A1436" i="9"/>
  <c r="A1437" i="9"/>
  <c r="A1438" i="9"/>
  <c r="A1439" i="9"/>
  <c r="A1440" i="9"/>
  <c r="A1441" i="9"/>
  <c r="A1442" i="9"/>
  <c r="A1443" i="9"/>
  <c r="A1444" i="9"/>
  <c r="A1445" i="9"/>
  <c r="A1446" i="9"/>
  <c r="A1447" i="9"/>
  <c r="A1448" i="9"/>
  <c r="A1449" i="9"/>
  <c r="A1450" i="9"/>
  <c r="A1451" i="9"/>
  <c r="A1452" i="9"/>
  <c r="A1453" i="9"/>
  <c r="A1454" i="9"/>
  <c r="A1455" i="9"/>
  <c r="A1456" i="9"/>
  <c r="A1457" i="9"/>
  <c r="A1458" i="9"/>
  <c r="A1459" i="9"/>
  <c r="A1460" i="9"/>
  <c r="A1461" i="9"/>
  <c r="A1462" i="9"/>
  <c r="A1463" i="9"/>
  <c r="A1464" i="9"/>
  <c r="A1465" i="9"/>
  <c r="A1466" i="9"/>
  <c r="A1467" i="9"/>
  <c r="A1468" i="9"/>
  <c r="A1469" i="9"/>
  <c r="A1470" i="9"/>
  <c r="A1471" i="9"/>
  <c r="A1472" i="9"/>
  <c r="A1473" i="9"/>
  <c r="A1474" i="9"/>
  <c r="A1475" i="9"/>
  <c r="A1476" i="9"/>
  <c r="A1477" i="9"/>
  <c r="A1478" i="9"/>
  <c r="A1479" i="9"/>
  <c r="A1480" i="9"/>
  <c r="A1481" i="9"/>
  <c r="A1482" i="9"/>
  <c r="A1483" i="9"/>
  <c r="A1484" i="9"/>
  <c r="A1485" i="9"/>
  <c r="A1486" i="9"/>
  <c r="A1487" i="9"/>
  <c r="A1488" i="9"/>
  <c r="A1489" i="9"/>
  <c r="A1490" i="9"/>
  <c r="A1491" i="9"/>
  <c r="A1492" i="9"/>
  <c r="A1493" i="9"/>
  <c r="A1494" i="9"/>
  <c r="A1495" i="9"/>
  <c r="A1496" i="9"/>
  <c r="A1497" i="9"/>
  <c r="A1498" i="9"/>
  <c r="A1499" i="9"/>
  <c r="A1500" i="9"/>
  <c r="A1501" i="9"/>
  <c r="A1502" i="9"/>
  <c r="A1503" i="9"/>
  <c r="A1504" i="9"/>
  <c r="A1505" i="9"/>
  <c r="A1506" i="9"/>
  <c r="A1507" i="9"/>
  <c r="A1508" i="9"/>
  <c r="A1509" i="9"/>
  <c r="A1510" i="9"/>
  <c r="A1511" i="9"/>
  <c r="A1512" i="9"/>
  <c r="A1513" i="9"/>
  <c r="A1514" i="9"/>
  <c r="A1515" i="9"/>
  <c r="A1516" i="9"/>
  <c r="A1517" i="9"/>
  <c r="A1518" i="9"/>
  <c r="A1519" i="9"/>
  <c r="A1520" i="9"/>
  <c r="A1521" i="9"/>
  <c r="A1522" i="9"/>
  <c r="A1523" i="9"/>
  <c r="A1524" i="9"/>
  <c r="A1525" i="9"/>
  <c r="A1526" i="9"/>
  <c r="A1527" i="9"/>
  <c r="A1528" i="9"/>
  <c r="A1529" i="9"/>
  <c r="A1530" i="9"/>
  <c r="A1531" i="9"/>
  <c r="A1532" i="9"/>
  <c r="A1533" i="9"/>
  <c r="A1534" i="9"/>
  <c r="A1535" i="9"/>
  <c r="A1536" i="9"/>
  <c r="A1537" i="9"/>
  <c r="A1538" i="9"/>
  <c r="A1539" i="9"/>
  <c r="A1540" i="9"/>
  <c r="A1541" i="9"/>
  <c r="A1542" i="9"/>
  <c r="A1543" i="9"/>
  <c r="A1544" i="9"/>
  <c r="A1545" i="9"/>
  <c r="A1546" i="9"/>
  <c r="A1547" i="9"/>
  <c r="A1548" i="9"/>
  <c r="A1549" i="9"/>
  <c r="A1550" i="9"/>
  <c r="A1551" i="9"/>
  <c r="A1552" i="9"/>
  <c r="A1553" i="9"/>
  <c r="A1554" i="9"/>
  <c r="A1555" i="9"/>
  <c r="A1556" i="9"/>
  <c r="A1557" i="9"/>
  <c r="A1558" i="9"/>
  <c r="A1559" i="9"/>
  <c r="A1560" i="9"/>
  <c r="A1561" i="9"/>
  <c r="A1562" i="9"/>
  <c r="A1563" i="9"/>
  <c r="A1564" i="9"/>
  <c r="A1565" i="9"/>
  <c r="A1566" i="9"/>
  <c r="A1567" i="9"/>
  <c r="A1568" i="9"/>
  <c r="A1569" i="9"/>
  <c r="A1570" i="9"/>
  <c r="A1571" i="9"/>
  <c r="A1572" i="9"/>
  <c r="A1573" i="9"/>
  <c r="A1574" i="9"/>
  <c r="A1575" i="9"/>
  <c r="A1576" i="9"/>
  <c r="A1577" i="9"/>
  <c r="A1578" i="9"/>
  <c r="A1579" i="9"/>
  <c r="A1580" i="9"/>
  <c r="A1581" i="9"/>
  <c r="A1582" i="9"/>
  <c r="A1583" i="9"/>
  <c r="A1584" i="9"/>
  <c r="A1585" i="9"/>
  <c r="A1586" i="9"/>
  <c r="A1587" i="9"/>
  <c r="A1588" i="9"/>
  <c r="A1589" i="9"/>
  <c r="A1590" i="9"/>
  <c r="A1591" i="9"/>
  <c r="A1592" i="9"/>
  <c r="A1593" i="9"/>
  <c r="A1594" i="9"/>
  <c r="A1595" i="9"/>
  <c r="A1596" i="9"/>
  <c r="A1597" i="9"/>
  <c r="A1598" i="9"/>
  <c r="A1599" i="9"/>
  <c r="A1600" i="9"/>
  <c r="A1601" i="9"/>
  <c r="A1602" i="9"/>
  <c r="A1603" i="9"/>
  <c r="A1604" i="9"/>
  <c r="A1605" i="9"/>
  <c r="A1606" i="9"/>
  <c r="A1607" i="9"/>
  <c r="A1608" i="9"/>
  <c r="A1609" i="9"/>
  <c r="A1610" i="9"/>
  <c r="A1611" i="9"/>
  <c r="A1612" i="9"/>
  <c r="A1613" i="9"/>
  <c r="A1614" i="9"/>
  <c r="A1615" i="9"/>
  <c r="A1616" i="9"/>
  <c r="A1617" i="9"/>
  <c r="A1618" i="9"/>
  <c r="A1619" i="9"/>
  <c r="A1620" i="9"/>
  <c r="A1621" i="9"/>
  <c r="A1622" i="9"/>
  <c r="A1623" i="9"/>
  <c r="A1624" i="9"/>
  <c r="A1625" i="9"/>
  <c r="A1626" i="9"/>
  <c r="A1627" i="9"/>
  <c r="A1628" i="9"/>
  <c r="A1629" i="9"/>
  <c r="A1630" i="9"/>
  <c r="A1631" i="9"/>
  <c r="A1632" i="9"/>
  <c r="A1633" i="9"/>
  <c r="A1634" i="9"/>
  <c r="A1635" i="9"/>
  <c r="A1636" i="9"/>
  <c r="A1637" i="9"/>
  <c r="A1638" i="9"/>
  <c r="A1639" i="9"/>
  <c r="A1640" i="9"/>
  <c r="A1641" i="9"/>
  <c r="A1642" i="9"/>
  <c r="A1643" i="9"/>
  <c r="A1644" i="9"/>
  <c r="A1645" i="9"/>
  <c r="A1646" i="9"/>
  <c r="A1647" i="9"/>
  <c r="A1648" i="9"/>
  <c r="A1649" i="9"/>
  <c r="A1650" i="9"/>
  <c r="A1651" i="9"/>
  <c r="A1652" i="9"/>
  <c r="A1653" i="9"/>
  <c r="A1654" i="9"/>
  <c r="A1655" i="9"/>
  <c r="A1656" i="9"/>
  <c r="A1657" i="9"/>
  <c r="A1658" i="9"/>
  <c r="A1659" i="9"/>
  <c r="A1660" i="9"/>
  <c r="A1661" i="9"/>
  <c r="A1662" i="9"/>
  <c r="A1663" i="9"/>
  <c r="A1664" i="9"/>
  <c r="A1665" i="9"/>
  <c r="A1666" i="9"/>
  <c r="A1667" i="9"/>
  <c r="A1668" i="9"/>
  <c r="A1669" i="9"/>
  <c r="A1670" i="9"/>
  <c r="A1671" i="9"/>
  <c r="A1672" i="9"/>
  <c r="A1673" i="9"/>
  <c r="A1674" i="9"/>
  <c r="A1675" i="9"/>
  <c r="A1676" i="9"/>
  <c r="A1677" i="9"/>
  <c r="A1678" i="9"/>
  <c r="A1679" i="9"/>
  <c r="A1680" i="9"/>
  <c r="A1681" i="9"/>
  <c r="A1682" i="9"/>
  <c r="A1683" i="9"/>
  <c r="A1684" i="9"/>
  <c r="A1685" i="9"/>
  <c r="A1686" i="9"/>
  <c r="A1687" i="9"/>
  <c r="A1688" i="9"/>
  <c r="A1689" i="9"/>
  <c r="A1690" i="9"/>
  <c r="A1691" i="9"/>
  <c r="A1692" i="9"/>
  <c r="A1693" i="9"/>
  <c r="A1694" i="9"/>
  <c r="A1695" i="9"/>
  <c r="A1696" i="9"/>
  <c r="A1697" i="9"/>
  <c r="A1698" i="9"/>
  <c r="A1699" i="9"/>
  <c r="A1700" i="9"/>
  <c r="A1701" i="9"/>
  <c r="A1702" i="9"/>
  <c r="A1703" i="9"/>
  <c r="A1704" i="9"/>
  <c r="A1705" i="9"/>
  <c r="A1706" i="9"/>
  <c r="A1707" i="9"/>
  <c r="A1708" i="9"/>
  <c r="A1709" i="9"/>
  <c r="A1710" i="9"/>
  <c r="A1711" i="9"/>
  <c r="A1712" i="9"/>
  <c r="A1713" i="9"/>
  <c r="A1714" i="9"/>
  <c r="A1715" i="9"/>
  <c r="A1716" i="9"/>
  <c r="A1717" i="9"/>
  <c r="A1718" i="9"/>
  <c r="A1719" i="9"/>
  <c r="A1720" i="9"/>
  <c r="A1721" i="9"/>
  <c r="A1722" i="9"/>
  <c r="A1723" i="9"/>
  <c r="A1724" i="9"/>
  <c r="A1725" i="9"/>
  <c r="A1726" i="9"/>
  <c r="A1727" i="9"/>
  <c r="A1728" i="9"/>
  <c r="A1729" i="9"/>
  <c r="A1730" i="9"/>
  <c r="A1731" i="9"/>
  <c r="A1732" i="9"/>
  <c r="A1733" i="9"/>
  <c r="A1734" i="9"/>
  <c r="A1735" i="9"/>
  <c r="A1736" i="9"/>
  <c r="A1737" i="9"/>
  <c r="A1738" i="9"/>
  <c r="A1739" i="9"/>
  <c r="A1740" i="9"/>
  <c r="A1741" i="9"/>
  <c r="A1742" i="9"/>
  <c r="A1743" i="9"/>
  <c r="A1744" i="9"/>
  <c r="A1745" i="9"/>
  <c r="A1746" i="9"/>
  <c r="A1747" i="9"/>
  <c r="A1748" i="9"/>
  <c r="A1749" i="9"/>
  <c r="A1750" i="9"/>
  <c r="A1751" i="9"/>
  <c r="A1752" i="9"/>
  <c r="A1753" i="9"/>
  <c r="A1754" i="9"/>
  <c r="A1755" i="9"/>
  <c r="A1756" i="9"/>
  <c r="A1757" i="9"/>
  <c r="A1758" i="9"/>
  <c r="A1759" i="9"/>
  <c r="A1760" i="9"/>
  <c r="A1761" i="9"/>
  <c r="A1762" i="9"/>
  <c r="A1763" i="9"/>
  <c r="A1764" i="9"/>
  <c r="A1765" i="9"/>
  <c r="A1766" i="9"/>
  <c r="A1767" i="9"/>
  <c r="A1768" i="9"/>
  <c r="A1769" i="9"/>
  <c r="A1770" i="9"/>
  <c r="A1771" i="9"/>
  <c r="A1772" i="9"/>
  <c r="A1773" i="9"/>
  <c r="A1774" i="9"/>
  <c r="A1775" i="9"/>
  <c r="A1776" i="9"/>
  <c r="A1777" i="9"/>
  <c r="A1778" i="9"/>
  <c r="A1779" i="9"/>
  <c r="A1780" i="9"/>
  <c r="A1781" i="9"/>
  <c r="A1782" i="9"/>
  <c r="A1783" i="9"/>
  <c r="A1784" i="9"/>
  <c r="A1785" i="9"/>
  <c r="A1786" i="9"/>
  <c r="A1787" i="9"/>
  <c r="A1788" i="9"/>
  <c r="A1789" i="9"/>
  <c r="A1790" i="9"/>
  <c r="A1791" i="9"/>
  <c r="A1792" i="9"/>
  <c r="A1793" i="9"/>
  <c r="A1794" i="9"/>
  <c r="A1795" i="9"/>
  <c r="A1796" i="9"/>
  <c r="A1797" i="9"/>
  <c r="A1798" i="9"/>
  <c r="A1799" i="9"/>
  <c r="A1800" i="9"/>
  <c r="A1801" i="9"/>
  <c r="A1802" i="9"/>
  <c r="A1803" i="9"/>
  <c r="A1804" i="9"/>
  <c r="A1805" i="9"/>
  <c r="A1806" i="9"/>
  <c r="A1807" i="9"/>
  <c r="A1808" i="9"/>
  <c r="A1809" i="9"/>
  <c r="A1810" i="9"/>
  <c r="A1811" i="9"/>
  <c r="A1812" i="9"/>
  <c r="A1813" i="9"/>
  <c r="A1814" i="9"/>
  <c r="A1815" i="9"/>
  <c r="A1816" i="9"/>
  <c r="A1817" i="9"/>
  <c r="A1818" i="9"/>
  <c r="A1819" i="9"/>
  <c r="A1820" i="9"/>
  <c r="A1821" i="9"/>
  <c r="A1822" i="9"/>
  <c r="A1823" i="9"/>
  <c r="A1824" i="9"/>
  <c r="A1825" i="9"/>
  <c r="A1826" i="9"/>
  <c r="A1827" i="9"/>
  <c r="A1828" i="9"/>
  <c r="A1829" i="9"/>
  <c r="A1830" i="9"/>
  <c r="A1831" i="9"/>
  <c r="A1832" i="9"/>
  <c r="A1833" i="9"/>
  <c r="A1834" i="9"/>
  <c r="A1835" i="9"/>
  <c r="A1836" i="9"/>
  <c r="A1837" i="9"/>
  <c r="A1838" i="9"/>
  <c r="A1839" i="9"/>
  <c r="A1840" i="9"/>
  <c r="A1841" i="9"/>
  <c r="A1842" i="9"/>
  <c r="A1843" i="9"/>
  <c r="A1844" i="9"/>
  <c r="A1845" i="9"/>
  <c r="A1846" i="9"/>
  <c r="A1847" i="9"/>
  <c r="A1848" i="9"/>
  <c r="A1849" i="9"/>
  <c r="A1850" i="9"/>
  <c r="A1851" i="9"/>
  <c r="A1852" i="9"/>
  <c r="A1853" i="9"/>
  <c r="A1854" i="9"/>
  <c r="A1855" i="9"/>
  <c r="A1856" i="9"/>
  <c r="A1857" i="9"/>
  <c r="A1858" i="9"/>
  <c r="A1859" i="9"/>
  <c r="A1860" i="9"/>
  <c r="A1861" i="9"/>
  <c r="A1862" i="9"/>
  <c r="A1863" i="9"/>
  <c r="A1864" i="9"/>
  <c r="A1865" i="9"/>
  <c r="A1866" i="9"/>
  <c r="A1867" i="9"/>
  <c r="A1868" i="9"/>
  <c r="A1869" i="9"/>
  <c r="A1870" i="9"/>
  <c r="A1871" i="9"/>
  <c r="A1872" i="9"/>
  <c r="A1873" i="9"/>
  <c r="A1874" i="9"/>
  <c r="A1875" i="9"/>
  <c r="A1876" i="9"/>
  <c r="A1877" i="9"/>
  <c r="A1878" i="9"/>
  <c r="A1879" i="9"/>
  <c r="A1880" i="9"/>
  <c r="A1881" i="9"/>
  <c r="A1882" i="9"/>
  <c r="A1883" i="9"/>
  <c r="A1884" i="9"/>
  <c r="A1885" i="9"/>
  <c r="A1886" i="9"/>
  <c r="A1887" i="9"/>
  <c r="A1888" i="9"/>
  <c r="A1889" i="9"/>
  <c r="A1890" i="9"/>
  <c r="A1891" i="9"/>
  <c r="A1892" i="9"/>
  <c r="A1893" i="9"/>
  <c r="A1894" i="9"/>
  <c r="A1895" i="9"/>
  <c r="A1896" i="9"/>
  <c r="A1897" i="9"/>
  <c r="A1898" i="9"/>
  <c r="A1899" i="9"/>
  <c r="A1900" i="9"/>
  <c r="A1901" i="9"/>
  <c r="A1902" i="9"/>
  <c r="A1903" i="9"/>
  <c r="A1904" i="9"/>
  <c r="A1905" i="9"/>
  <c r="A1906" i="9"/>
  <c r="A1907" i="9"/>
  <c r="A1908" i="9"/>
  <c r="A1909" i="9"/>
  <c r="A1910" i="9"/>
  <c r="A1911" i="9"/>
  <c r="A1912" i="9"/>
  <c r="A1913" i="9"/>
  <c r="A1914" i="9"/>
  <c r="A1915" i="9"/>
  <c r="A1916" i="9"/>
  <c r="A1917" i="9"/>
  <c r="A1918" i="9"/>
  <c r="A1919" i="9"/>
  <c r="A1920" i="9"/>
  <c r="A1921" i="9"/>
  <c r="A1922" i="9"/>
  <c r="A1923" i="9"/>
  <c r="A1924" i="9"/>
  <c r="A1925" i="9"/>
  <c r="A1926" i="9"/>
  <c r="A1927" i="9"/>
  <c r="A1928" i="9"/>
  <c r="A1929" i="9"/>
  <c r="A1930" i="9"/>
  <c r="A1931" i="9"/>
  <c r="A1932" i="9"/>
  <c r="A1933" i="9"/>
  <c r="A1934" i="9"/>
  <c r="A1935" i="9"/>
  <c r="A1936" i="9"/>
  <c r="A1937" i="9"/>
  <c r="A1938" i="9"/>
  <c r="A1939" i="9"/>
  <c r="A1940" i="9"/>
  <c r="A1941" i="9"/>
  <c r="A1942" i="9"/>
  <c r="A1943" i="9"/>
  <c r="A1944" i="9"/>
  <c r="A1945" i="9"/>
  <c r="A1946" i="9"/>
  <c r="A1947" i="9"/>
  <c r="A1948" i="9"/>
  <c r="A1949" i="9"/>
  <c r="A1950" i="9"/>
  <c r="A1951" i="9"/>
  <c r="A1952" i="9"/>
  <c r="A1953" i="9"/>
  <c r="A1954" i="9"/>
  <c r="A1955" i="9"/>
  <c r="A1956" i="9"/>
  <c r="A1957" i="9"/>
  <c r="A1958" i="9"/>
  <c r="A1959" i="9"/>
  <c r="A1960" i="9"/>
  <c r="A1961" i="9"/>
  <c r="A1962" i="9"/>
  <c r="A1963" i="9"/>
  <c r="A1964" i="9"/>
  <c r="A1965" i="9"/>
  <c r="A1966" i="9"/>
  <c r="A1967" i="9"/>
  <c r="A1968" i="9"/>
  <c r="A1969" i="9"/>
  <c r="A1970" i="9"/>
  <c r="A1971" i="9"/>
  <c r="A1972" i="9"/>
  <c r="A1973" i="9"/>
  <c r="A1974" i="9"/>
  <c r="A1975" i="9"/>
  <c r="A1976" i="9"/>
  <c r="A1977" i="9"/>
  <c r="A1978" i="9"/>
  <c r="A1979" i="9"/>
  <c r="A1980" i="9"/>
  <c r="A1981" i="9"/>
  <c r="A1982" i="9"/>
  <c r="A1983" i="9"/>
  <c r="A1984" i="9"/>
  <c r="A1985" i="9"/>
  <c r="A1986" i="9"/>
  <c r="A1987" i="9"/>
  <c r="A1988" i="9"/>
  <c r="A1989" i="9"/>
  <c r="A1990" i="9"/>
  <c r="A1991" i="9"/>
  <c r="A1992" i="9"/>
  <c r="A1993" i="9"/>
  <c r="A1994" i="9"/>
  <c r="A1995" i="9"/>
  <c r="A1996" i="9"/>
  <c r="A1997" i="9"/>
  <c r="A1998" i="9"/>
  <c r="A1999" i="9"/>
  <c r="A2000" i="9"/>
  <c r="A2001" i="9"/>
  <c r="A2002" i="9"/>
  <c r="A2003" i="9"/>
  <c r="A2004" i="9"/>
  <c r="A2005" i="9"/>
  <c r="A2006" i="9"/>
  <c r="A2007" i="9"/>
  <c r="A2008" i="9"/>
  <c r="A2009" i="9"/>
  <c r="A2010" i="9"/>
  <c r="A2011" i="9"/>
  <c r="A2012" i="9"/>
  <c r="A2013" i="9"/>
  <c r="A2014" i="9"/>
  <c r="A2015" i="9"/>
  <c r="A2016" i="9"/>
  <c r="A2017" i="9"/>
  <c r="A2018" i="9"/>
  <c r="A2019" i="9"/>
  <c r="A2020" i="9"/>
  <c r="A2021" i="9"/>
  <c r="A2022" i="9"/>
  <c r="A2023" i="9"/>
  <c r="A2024" i="9"/>
  <c r="A2025" i="9"/>
  <c r="A2026" i="9"/>
  <c r="A2027" i="9"/>
  <c r="A2028" i="9"/>
  <c r="A2029" i="9"/>
  <c r="A2030" i="9"/>
  <c r="A2031" i="9"/>
  <c r="A2032" i="9"/>
  <c r="A2033" i="9"/>
  <c r="A2034" i="9"/>
  <c r="A2035" i="9"/>
  <c r="A2036" i="9"/>
  <c r="A2037" i="9"/>
  <c r="A2038" i="9"/>
  <c r="A2039" i="9"/>
  <c r="A2040" i="9"/>
  <c r="A2041" i="9"/>
  <c r="A2042" i="9"/>
  <c r="A2043" i="9"/>
  <c r="A2044" i="9"/>
  <c r="A2045" i="9"/>
  <c r="A2046" i="9"/>
  <c r="A2047" i="9"/>
  <c r="A2048" i="9"/>
  <c r="A2049" i="9"/>
  <c r="A2050" i="9"/>
  <c r="A2051" i="9"/>
  <c r="A2052" i="9"/>
  <c r="A2053" i="9"/>
  <c r="A2054" i="9"/>
  <c r="A2055" i="9"/>
  <c r="A2056" i="9"/>
  <c r="A2057" i="9"/>
  <c r="A2058" i="9"/>
  <c r="A2059" i="9"/>
  <c r="A2060" i="9"/>
  <c r="A2061" i="9"/>
  <c r="A2062" i="9"/>
  <c r="A2063" i="9"/>
  <c r="A2064" i="9"/>
  <c r="A2065" i="9"/>
  <c r="A2066" i="9"/>
  <c r="A2067" i="9"/>
  <c r="A2068" i="9"/>
  <c r="A2069" i="9"/>
  <c r="A2070" i="9"/>
  <c r="A2071" i="9"/>
  <c r="A2072" i="9"/>
  <c r="A2073" i="9"/>
  <c r="A2074" i="9"/>
  <c r="A2075" i="9"/>
  <c r="A2076" i="9"/>
  <c r="A2077" i="9"/>
  <c r="A2078" i="9"/>
  <c r="A2079" i="9"/>
  <c r="A2080" i="9"/>
  <c r="A2081" i="9"/>
  <c r="A2082" i="9"/>
  <c r="A2083" i="9"/>
  <c r="A2084" i="9"/>
  <c r="A2085" i="9"/>
  <c r="A2086" i="9"/>
  <c r="A2087" i="9"/>
  <c r="A2088" i="9"/>
  <c r="A2089" i="9"/>
  <c r="A2090" i="9"/>
  <c r="A2091" i="9"/>
  <c r="A2092" i="9"/>
  <c r="A2093" i="9"/>
  <c r="A2094" i="9"/>
  <c r="A2095" i="9"/>
  <c r="A2096" i="9"/>
  <c r="A2097" i="9"/>
  <c r="A2098" i="9"/>
  <c r="A2099" i="9"/>
  <c r="A2100" i="9"/>
  <c r="A2101" i="9"/>
  <c r="A2102" i="9"/>
  <c r="A2103" i="9"/>
  <c r="A2104" i="9"/>
  <c r="A2105" i="9"/>
  <c r="A2106" i="9"/>
  <c r="A2107" i="9"/>
  <c r="A2108" i="9"/>
  <c r="A2109" i="9"/>
  <c r="A2110" i="9"/>
  <c r="A2111" i="9"/>
  <c r="A2112" i="9"/>
  <c r="A2113" i="9"/>
  <c r="A2114" i="9"/>
  <c r="A2115" i="9"/>
  <c r="A2116" i="9"/>
  <c r="A2117" i="9"/>
  <c r="A2118" i="9"/>
  <c r="A2119" i="9"/>
  <c r="A2120" i="9"/>
  <c r="A2121" i="9"/>
  <c r="A2122" i="9"/>
  <c r="A2123" i="9"/>
  <c r="A2124" i="9"/>
  <c r="A2125" i="9"/>
  <c r="A2126" i="9"/>
  <c r="A2127" i="9"/>
  <c r="A2128" i="9"/>
  <c r="A2129" i="9"/>
  <c r="A2130" i="9"/>
  <c r="A2131" i="9"/>
  <c r="A2132" i="9"/>
  <c r="A2133" i="9"/>
  <c r="A2134" i="9"/>
  <c r="A2135" i="9"/>
  <c r="A2136" i="9"/>
  <c r="A2137" i="9"/>
  <c r="A2138" i="9"/>
  <c r="A2139" i="9"/>
  <c r="A2140" i="9"/>
  <c r="A2141" i="9"/>
  <c r="A2142" i="9"/>
  <c r="A2143" i="9"/>
  <c r="A2144" i="9"/>
  <c r="A2145" i="9"/>
  <c r="A2146" i="9"/>
  <c r="A2147" i="9"/>
  <c r="A2148" i="9"/>
  <c r="A2149" i="9"/>
  <c r="A2150" i="9"/>
  <c r="A2151" i="9"/>
  <c r="A2152" i="9"/>
  <c r="A2153" i="9"/>
  <c r="A2154" i="9"/>
  <c r="A2155" i="9"/>
  <c r="A2156" i="9"/>
  <c r="A2157" i="9"/>
  <c r="A2158" i="9"/>
  <c r="A2159" i="9"/>
  <c r="A2160" i="9"/>
  <c r="A2161" i="9"/>
  <c r="A2162" i="9"/>
  <c r="A2163" i="9"/>
  <c r="A2164" i="9"/>
  <c r="A2165" i="9"/>
  <c r="A2166" i="9"/>
  <c r="A2167" i="9"/>
  <c r="A2168" i="9"/>
  <c r="A2169" i="9"/>
  <c r="A2170" i="9"/>
  <c r="A2171" i="9"/>
  <c r="A2172" i="9"/>
  <c r="A2173" i="9"/>
  <c r="A2174" i="9"/>
  <c r="A2175" i="9"/>
  <c r="A2176" i="9"/>
  <c r="A2177" i="9"/>
  <c r="A2178" i="9"/>
  <c r="A2179" i="9"/>
  <c r="A2180" i="9"/>
  <c r="A2181" i="9"/>
  <c r="A2182" i="9"/>
  <c r="A2183" i="9"/>
  <c r="A2184" i="9"/>
  <c r="A2185" i="9"/>
  <c r="A2186" i="9"/>
  <c r="A2187" i="9"/>
  <c r="A2188" i="9"/>
  <c r="A2189" i="9"/>
  <c r="A2190" i="9"/>
  <c r="A2191" i="9"/>
  <c r="A2192" i="9"/>
  <c r="A2193" i="9"/>
  <c r="A2194" i="9"/>
  <c r="A2195" i="9"/>
  <c r="A2196" i="9"/>
  <c r="A2197" i="9"/>
  <c r="A2198" i="9"/>
  <c r="A2199" i="9"/>
  <c r="A2200" i="9"/>
  <c r="A2201" i="9"/>
  <c r="A2202" i="9"/>
  <c r="A2203" i="9"/>
  <c r="A2204" i="9"/>
  <c r="A2205" i="9"/>
  <c r="A2206" i="9"/>
  <c r="A2207" i="9"/>
  <c r="A2208" i="9"/>
  <c r="A2209" i="9"/>
  <c r="A2210" i="9"/>
  <c r="A2211" i="9"/>
  <c r="A2212" i="9"/>
  <c r="A2213" i="9"/>
  <c r="A2214" i="9"/>
  <c r="A2215" i="9"/>
  <c r="A2216" i="9"/>
  <c r="A2217" i="9"/>
  <c r="A2218" i="9"/>
  <c r="A2219" i="9"/>
  <c r="A2220" i="9"/>
  <c r="A2221" i="9"/>
  <c r="A2222" i="9"/>
  <c r="A2223" i="9"/>
  <c r="A2224" i="9"/>
  <c r="A2225" i="9"/>
  <c r="A2226" i="9"/>
  <c r="A2227" i="9"/>
  <c r="A2228" i="9"/>
  <c r="A2229" i="9"/>
  <c r="A2230" i="9"/>
  <c r="A2231" i="9"/>
  <c r="A2232" i="9"/>
  <c r="A2233" i="9"/>
  <c r="A2234" i="9"/>
  <c r="A2235" i="9"/>
  <c r="A2236" i="9"/>
  <c r="A2237" i="9"/>
  <c r="A2238" i="9"/>
  <c r="A2239" i="9"/>
  <c r="A2240" i="9"/>
  <c r="A2241" i="9"/>
  <c r="A2242" i="9"/>
  <c r="A2243" i="9"/>
  <c r="A2244" i="9"/>
  <c r="A2245" i="9"/>
  <c r="A2246" i="9"/>
  <c r="A2247" i="9"/>
  <c r="A2248" i="9"/>
  <c r="A2249" i="9"/>
  <c r="A2250" i="9"/>
  <c r="A2251" i="9"/>
  <c r="A2252" i="9"/>
  <c r="A2253" i="9"/>
  <c r="A2254" i="9"/>
  <c r="A2255" i="9"/>
  <c r="A2256" i="9"/>
  <c r="A2257" i="9"/>
  <c r="A2258" i="9"/>
  <c r="A2259" i="9"/>
  <c r="A2260" i="9"/>
  <c r="A2261" i="9"/>
  <c r="A2262" i="9"/>
  <c r="A2263" i="9"/>
  <c r="A2264" i="9"/>
  <c r="A2265" i="9"/>
  <c r="A2266" i="9"/>
  <c r="A2267" i="9"/>
  <c r="A2268" i="9"/>
  <c r="A2269" i="9"/>
  <c r="A2270" i="9"/>
  <c r="A2271" i="9"/>
  <c r="A2272" i="9"/>
  <c r="A2273" i="9"/>
  <c r="A2274" i="9"/>
  <c r="A2275" i="9"/>
  <c r="A2276" i="9"/>
  <c r="A2277" i="9"/>
  <c r="A2278" i="9"/>
  <c r="A2279" i="9"/>
  <c r="A2280" i="9"/>
  <c r="A2281" i="9"/>
  <c r="A2282" i="9"/>
  <c r="A2283" i="9"/>
  <c r="A2284" i="9"/>
  <c r="A2285" i="9"/>
  <c r="A2286" i="9"/>
  <c r="A2287" i="9"/>
  <c r="A2288" i="9"/>
  <c r="A2289" i="9"/>
  <c r="A2290" i="9"/>
  <c r="A2291" i="9"/>
  <c r="A2292" i="9"/>
  <c r="A2293" i="9"/>
  <c r="A2294" i="9"/>
  <c r="A2295" i="9"/>
  <c r="A2296" i="9"/>
  <c r="A2297" i="9"/>
  <c r="A2298" i="9"/>
  <c r="A2299" i="9"/>
  <c r="A2300" i="9"/>
  <c r="A2301" i="9"/>
  <c r="A2302" i="9"/>
  <c r="A2303" i="9"/>
  <c r="A2304" i="9"/>
  <c r="A2305" i="9"/>
  <c r="A2306" i="9"/>
  <c r="A2307" i="9"/>
  <c r="A2308" i="9"/>
  <c r="A2309" i="9"/>
  <c r="A2310" i="9"/>
  <c r="A2311" i="9"/>
  <c r="A2312" i="9"/>
  <c r="A2313" i="9"/>
  <c r="A2314" i="9"/>
  <c r="A2315" i="9"/>
  <c r="A2316" i="9"/>
  <c r="A2317" i="9"/>
  <c r="A2318" i="9"/>
  <c r="A2319" i="9"/>
  <c r="A2320" i="9"/>
  <c r="A2321" i="9"/>
  <c r="A2322" i="9"/>
  <c r="A2323" i="9"/>
  <c r="A2324" i="9"/>
  <c r="A2325" i="9"/>
  <c r="A2326" i="9"/>
  <c r="A2327" i="9"/>
  <c r="A2328" i="9"/>
  <c r="A2329" i="9"/>
  <c r="A2330" i="9"/>
  <c r="A2331" i="9"/>
  <c r="A2332" i="9"/>
  <c r="A2333" i="9"/>
  <c r="A2334" i="9"/>
  <c r="A2335" i="9"/>
  <c r="A2336" i="9"/>
  <c r="A2337" i="9"/>
  <c r="A2338" i="9"/>
  <c r="A2339" i="9"/>
  <c r="A2340" i="9"/>
  <c r="A2341" i="9"/>
  <c r="A2342" i="9"/>
  <c r="A2343" i="9"/>
  <c r="A2344" i="9"/>
  <c r="A2345" i="9"/>
  <c r="A2346" i="9"/>
  <c r="A2347" i="9"/>
  <c r="A2348" i="9"/>
  <c r="A2349" i="9"/>
  <c r="A2350" i="9"/>
  <c r="A2351" i="9"/>
  <c r="A2352" i="9"/>
  <c r="A2353" i="9"/>
  <c r="A2354" i="9"/>
  <c r="A2355" i="9"/>
  <c r="A2356" i="9"/>
  <c r="A2357" i="9"/>
  <c r="A2358" i="9"/>
  <c r="A2359" i="9"/>
  <c r="A2360" i="9"/>
  <c r="A2361" i="9"/>
  <c r="A2362" i="9"/>
  <c r="A2363" i="9"/>
  <c r="A2364" i="9"/>
  <c r="A2365" i="9"/>
  <c r="A2366" i="9"/>
  <c r="A2367" i="9"/>
  <c r="A2368" i="9"/>
  <c r="A2369" i="9"/>
  <c r="A2370" i="9"/>
  <c r="A2371" i="9"/>
  <c r="A2372" i="9"/>
  <c r="A2373" i="9"/>
  <c r="A2374" i="9"/>
  <c r="A2375" i="9"/>
  <c r="A2376" i="9"/>
  <c r="A2377" i="9"/>
  <c r="A2378" i="9"/>
  <c r="A2379" i="9"/>
  <c r="A2380" i="9"/>
  <c r="A2381" i="9"/>
  <c r="A2382" i="9"/>
  <c r="A2383" i="9"/>
  <c r="A2384" i="9"/>
  <c r="A2385" i="9"/>
  <c r="A2386" i="9"/>
  <c r="A2387" i="9"/>
  <c r="A2388" i="9"/>
  <c r="A2389" i="9"/>
  <c r="A2390" i="9"/>
  <c r="A2391" i="9"/>
  <c r="A2392" i="9"/>
  <c r="A2393" i="9"/>
  <c r="A2394" i="9"/>
  <c r="A2395" i="9"/>
  <c r="A2396" i="9"/>
  <c r="A2397" i="9"/>
  <c r="A2398" i="9"/>
  <c r="A2399" i="9"/>
  <c r="A2400" i="9"/>
  <c r="A2401" i="9"/>
  <c r="A2402" i="9"/>
  <c r="A2403" i="9"/>
  <c r="A2404" i="9"/>
  <c r="A2405" i="9"/>
  <c r="A2406" i="9"/>
  <c r="A2407" i="9"/>
  <c r="A2408" i="9"/>
  <c r="A2409" i="9"/>
  <c r="A2410" i="9"/>
  <c r="A2411" i="9"/>
  <c r="A2412" i="9"/>
  <c r="A2413" i="9"/>
  <c r="A2414" i="9"/>
  <c r="A2415" i="9"/>
  <c r="A2416" i="9"/>
  <c r="A2417" i="9"/>
  <c r="A2418" i="9"/>
  <c r="A2419" i="9"/>
  <c r="A2420" i="9"/>
  <c r="A2421" i="9"/>
  <c r="A2422" i="9"/>
  <c r="A2423" i="9"/>
  <c r="A2424" i="9"/>
  <c r="A2425" i="9"/>
  <c r="A2426" i="9"/>
  <c r="A2427" i="9"/>
  <c r="A2428" i="9"/>
  <c r="A2429" i="9"/>
  <c r="A2430" i="9"/>
  <c r="A2431" i="9"/>
  <c r="A2432" i="9"/>
  <c r="A2433" i="9"/>
  <c r="A2434" i="9"/>
  <c r="A2435" i="9"/>
  <c r="A2436" i="9"/>
  <c r="A2437" i="9"/>
  <c r="A2438" i="9"/>
  <c r="A2439" i="9"/>
  <c r="A2440" i="9"/>
  <c r="A2441" i="9"/>
  <c r="A2442" i="9"/>
  <c r="A2443" i="9"/>
  <c r="A2444" i="9"/>
  <c r="A2445" i="9"/>
  <c r="A2446" i="9"/>
  <c r="A2447" i="9"/>
  <c r="A2448" i="9"/>
  <c r="A2449" i="9"/>
  <c r="A2450" i="9"/>
  <c r="A2451" i="9"/>
  <c r="A2452" i="9"/>
  <c r="A2453" i="9"/>
  <c r="A2454" i="9"/>
  <c r="A2455" i="9"/>
  <c r="A2456" i="9"/>
  <c r="A2457" i="9"/>
  <c r="A2458" i="9"/>
  <c r="A2459" i="9"/>
  <c r="A2460" i="9"/>
  <c r="A2461" i="9"/>
  <c r="A2462" i="9"/>
  <c r="A2463" i="9"/>
  <c r="A2464" i="9"/>
  <c r="A2465" i="9"/>
  <c r="A2466" i="9"/>
  <c r="A2467" i="9"/>
  <c r="A2468" i="9"/>
  <c r="A2469" i="9"/>
  <c r="A2470" i="9"/>
  <c r="A2471" i="9"/>
  <c r="A2472" i="9"/>
  <c r="A2473" i="9"/>
  <c r="A2474" i="9"/>
  <c r="A2475" i="9"/>
  <c r="A2476" i="9"/>
  <c r="A2477" i="9"/>
  <c r="A2478" i="9"/>
  <c r="A2479" i="9"/>
  <c r="A2480" i="9"/>
  <c r="A2481" i="9"/>
  <c r="A2482" i="9"/>
  <c r="A2483" i="9"/>
  <c r="A2484" i="9"/>
  <c r="A2485" i="9"/>
  <c r="A2486" i="9"/>
  <c r="A2487" i="9"/>
  <c r="A2488" i="9"/>
  <c r="A2489" i="9"/>
  <c r="A2490" i="9"/>
  <c r="A2491" i="9"/>
  <c r="A2492" i="9"/>
  <c r="A2493" i="9"/>
  <c r="A2494" i="9"/>
  <c r="A2495" i="9"/>
  <c r="A2496" i="9"/>
  <c r="A2497" i="9"/>
  <c r="A2498" i="9"/>
  <c r="A2499" i="9"/>
  <c r="A2500" i="9"/>
  <c r="A2501" i="9"/>
  <c r="A2502" i="9"/>
  <c r="A2503" i="9"/>
  <c r="A2504" i="9"/>
  <c r="A2505" i="9"/>
  <c r="A2506" i="9"/>
  <c r="A2507" i="9"/>
  <c r="A2508" i="9"/>
  <c r="A2509" i="9"/>
  <c r="A2510" i="9"/>
  <c r="A2511" i="9"/>
  <c r="A2512" i="9"/>
  <c r="A2513" i="9"/>
  <c r="A2514" i="9"/>
  <c r="A2515" i="9"/>
  <c r="A2516" i="9"/>
  <c r="A2517" i="9"/>
  <c r="A2518" i="9"/>
  <c r="A2519" i="9"/>
  <c r="A2520" i="9"/>
  <c r="A2521" i="9"/>
  <c r="A2522" i="9"/>
  <c r="A2523" i="9"/>
  <c r="A2524" i="9"/>
  <c r="A2525" i="9"/>
  <c r="A2526" i="9"/>
  <c r="A2527" i="9"/>
  <c r="A2528" i="9"/>
  <c r="A2529" i="9"/>
  <c r="A2530" i="9"/>
  <c r="A2531" i="9"/>
  <c r="A2532" i="9"/>
  <c r="A2533" i="9"/>
  <c r="A2534" i="9"/>
  <c r="A2535" i="9"/>
  <c r="A2536" i="9"/>
  <c r="A2537" i="9"/>
  <c r="A2538" i="9"/>
  <c r="A2539" i="9"/>
  <c r="A2540" i="9"/>
  <c r="A2541" i="9"/>
  <c r="A2542" i="9"/>
  <c r="A2543" i="9"/>
  <c r="A2544" i="9"/>
  <c r="A2545" i="9"/>
  <c r="A2546" i="9"/>
  <c r="A2547" i="9"/>
  <c r="A2548" i="9"/>
  <c r="A2549" i="9"/>
  <c r="A2550" i="9"/>
  <c r="A2551" i="9"/>
  <c r="A2552" i="9"/>
  <c r="A2553" i="9"/>
  <c r="A2554" i="9"/>
  <c r="A2555" i="9"/>
  <c r="A2556" i="9"/>
  <c r="A2557" i="9"/>
  <c r="A2558" i="9"/>
  <c r="A2559" i="9"/>
  <c r="A2560" i="9"/>
  <c r="A2561" i="9"/>
  <c r="A2562" i="9"/>
  <c r="A2563" i="9"/>
  <c r="A2564" i="9"/>
  <c r="A2565" i="9"/>
  <c r="A2566" i="9"/>
  <c r="A2567" i="9"/>
  <c r="A2568" i="9"/>
  <c r="A2569" i="9"/>
  <c r="A2570" i="9"/>
  <c r="A2571" i="9"/>
  <c r="A2572" i="9"/>
  <c r="A2573" i="9"/>
  <c r="A2574" i="9"/>
  <c r="A2575" i="9"/>
  <c r="A2576" i="9"/>
  <c r="A2577" i="9"/>
  <c r="A2578" i="9"/>
  <c r="A2579" i="9"/>
  <c r="A2580" i="9"/>
  <c r="A2581" i="9"/>
  <c r="A2582" i="9"/>
  <c r="A2583" i="9"/>
  <c r="A2584" i="9"/>
  <c r="A2585" i="9"/>
  <c r="A2586" i="9"/>
  <c r="A2587" i="9"/>
  <c r="A2588" i="9"/>
  <c r="A2589" i="9"/>
  <c r="A2590" i="9"/>
  <c r="A2591" i="9"/>
  <c r="A2592" i="9"/>
  <c r="A2593" i="9"/>
  <c r="A2594" i="9"/>
  <c r="A2595" i="9"/>
  <c r="A2596" i="9"/>
  <c r="A2597" i="9"/>
  <c r="A2598" i="9"/>
  <c r="A2599" i="9"/>
  <c r="A2600" i="9"/>
  <c r="A2601" i="9"/>
  <c r="A2602" i="9"/>
  <c r="A2603" i="9"/>
  <c r="A2604" i="9"/>
  <c r="A2605" i="9"/>
  <c r="A2606" i="9"/>
  <c r="A2607" i="9"/>
  <c r="A2608" i="9"/>
  <c r="A2609" i="9"/>
  <c r="A2610" i="9"/>
  <c r="A2611" i="9"/>
  <c r="A2612" i="9"/>
  <c r="A2613" i="9"/>
  <c r="A2614" i="9"/>
  <c r="A2615" i="9"/>
  <c r="A2616" i="9"/>
  <c r="A2617" i="9"/>
  <c r="A2618" i="9"/>
  <c r="A2619" i="9"/>
  <c r="A2620" i="9"/>
  <c r="A2621" i="9"/>
  <c r="A2622" i="9"/>
  <c r="A2623" i="9"/>
  <c r="A2624" i="9"/>
  <c r="A2625" i="9"/>
  <c r="A2626" i="9"/>
  <c r="A2627" i="9"/>
  <c r="A2628" i="9"/>
  <c r="A2629" i="9"/>
  <c r="A2630" i="9"/>
  <c r="A2631" i="9"/>
  <c r="A2632" i="9"/>
  <c r="A2633" i="9"/>
  <c r="A2634" i="9"/>
  <c r="A2635" i="9"/>
  <c r="A2636" i="9"/>
  <c r="A2637" i="9"/>
  <c r="A2638" i="9"/>
  <c r="A2639" i="9"/>
  <c r="A2640" i="9"/>
  <c r="A2641" i="9"/>
  <c r="A2642" i="9"/>
  <c r="A2643" i="9"/>
  <c r="A2644" i="9"/>
  <c r="A2645" i="9"/>
  <c r="A2646" i="9"/>
  <c r="A2647" i="9"/>
  <c r="A2648" i="9"/>
  <c r="A2649" i="9"/>
  <c r="A2650" i="9"/>
  <c r="A2651" i="9"/>
  <c r="A2652" i="9"/>
  <c r="A2653" i="9"/>
  <c r="A2654" i="9"/>
  <c r="A2655" i="9"/>
  <c r="A2656" i="9"/>
  <c r="A2657" i="9"/>
  <c r="A2658" i="9"/>
  <c r="A2659" i="9"/>
  <c r="A2660" i="9"/>
  <c r="A2661" i="9"/>
  <c r="A2662" i="9"/>
  <c r="A2663" i="9"/>
  <c r="A2664" i="9"/>
  <c r="A2665" i="9"/>
  <c r="A2666" i="9"/>
  <c r="A2667" i="9"/>
  <c r="A2668" i="9"/>
  <c r="A2669" i="9"/>
  <c r="A2670" i="9"/>
  <c r="A2671" i="9"/>
  <c r="A2672" i="9"/>
  <c r="A2673" i="9"/>
  <c r="A2674" i="9"/>
  <c r="A2675" i="9"/>
  <c r="A2676" i="9"/>
  <c r="A2677" i="9"/>
  <c r="A2678" i="9"/>
  <c r="A2679" i="9"/>
  <c r="A2680" i="9"/>
  <c r="A2681" i="9"/>
  <c r="A2682" i="9"/>
  <c r="A2683" i="9"/>
  <c r="A2684" i="9"/>
  <c r="A2685" i="9"/>
  <c r="A2686" i="9"/>
  <c r="A2687" i="9"/>
  <c r="A2688" i="9"/>
  <c r="A2689" i="9"/>
  <c r="A2690" i="9"/>
  <c r="A2691" i="9"/>
  <c r="A2692" i="9"/>
  <c r="A2693" i="9"/>
  <c r="A2694" i="9"/>
  <c r="A2695" i="9"/>
  <c r="A2696" i="9"/>
  <c r="A2697" i="9"/>
  <c r="A2698" i="9"/>
  <c r="A2699" i="9"/>
  <c r="A2700" i="9"/>
  <c r="A2701" i="9"/>
  <c r="A2702" i="9"/>
  <c r="A2703" i="9"/>
  <c r="A2704" i="9"/>
  <c r="A2705" i="9"/>
  <c r="A2706" i="9"/>
  <c r="A2707" i="9"/>
  <c r="A2708" i="9"/>
  <c r="A2709" i="9"/>
  <c r="A2710" i="9"/>
  <c r="A2711" i="9"/>
  <c r="A2712" i="9"/>
  <c r="A2713" i="9"/>
  <c r="A2714" i="9"/>
  <c r="A2715" i="9"/>
  <c r="A2716" i="9"/>
  <c r="A2717" i="9"/>
  <c r="A2718" i="9"/>
  <c r="A2719" i="9"/>
  <c r="A2720" i="9"/>
  <c r="A2721" i="9"/>
  <c r="A2722" i="9"/>
  <c r="A2723" i="9"/>
  <c r="A2724" i="9"/>
  <c r="A2725" i="9"/>
  <c r="A2726" i="9"/>
  <c r="A2727" i="9"/>
  <c r="A2728" i="9"/>
  <c r="A2729" i="9"/>
  <c r="A2730" i="9"/>
  <c r="A2731" i="9"/>
  <c r="A2732" i="9"/>
  <c r="A2733" i="9"/>
  <c r="A2734" i="9"/>
  <c r="A2735" i="9"/>
  <c r="A2736" i="9"/>
  <c r="A2737" i="9"/>
  <c r="A2738" i="9"/>
  <c r="A2739" i="9"/>
  <c r="A2740" i="9"/>
  <c r="A2741" i="9"/>
  <c r="A2742" i="9"/>
  <c r="A2743" i="9"/>
  <c r="A2744" i="9"/>
  <c r="A2745" i="9"/>
  <c r="A2746" i="9"/>
  <c r="A2747" i="9"/>
  <c r="A2748" i="9"/>
  <c r="A2749" i="9"/>
  <c r="A2750" i="9"/>
  <c r="A2751" i="9"/>
  <c r="A2752" i="9"/>
  <c r="A2753" i="9"/>
  <c r="A2754" i="9"/>
  <c r="A2755" i="9"/>
  <c r="A2756" i="9"/>
  <c r="A2757" i="9"/>
  <c r="A2758" i="9"/>
  <c r="A2759" i="9"/>
  <c r="A2760" i="9"/>
  <c r="A2761" i="9"/>
  <c r="A2762" i="9"/>
  <c r="A2763" i="9"/>
  <c r="A2764" i="9"/>
  <c r="A2765" i="9"/>
  <c r="A2766" i="9"/>
  <c r="A2767" i="9"/>
  <c r="A2768" i="9"/>
  <c r="A2769" i="9"/>
  <c r="A2770" i="9"/>
  <c r="A2771" i="9"/>
  <c r="A2772" i="9"/>
  <c r="A2773" i="9"/>
  <c r="A2774" i="9"/>
  <c r="A2775" i="9"/>
  <c r="A2776" i="9"/>
  <c r="A2777" i="9"/>
  <c r="A2778" i="9"/>
  <c r="A2779" i="9"/>
  <c r="A2780" i="9"/>
  <c r="A2781" i="9"/>
  <c r="A2782" i="9"/>
  <c r="A2783" i="9"/>
  <c r="A2784" i="9"/>
  <c r="A2785" i="9"/>
  <c r="A2786" i="9"/>
  <c r="A2787" i="9"/>
  <c r="A2788" i="9"/>
  <c r="A2789" i="9"/>
  <c r="A2790" i="9"/>
  <c r="A2791" i="9"/>
  <c r="A2792" i="9"/>
  <c r="A2793" i="9"/>
  <c r="A2794" i="9"/>
  <c r="A2795" i="9"/>
  <c r="A2796" i="9"/>
  <c r="A2797" i="9"/>
  <c r="A2798" i="9"/>
  <c r="A2799" i="9"/>
  <c r="A2800" i="9"/>
  <c r="A2801" i="9"/>
  <c r="A2802" i="9"/>
  <c r="A2803" i="9"/>
  <c r="A2804" i="9"/>
  <c r="A2805" i="9"/>
  <c r="A2806" i="9"/>
  <c r="A2807" i="9"/>
  <c r="A2808" i="9"/>
  <c r="A2809" i="9"/>
  <c r="A2810" i="9"/>
  <c r="A2811" i="9"/>
  <c r="A2812" i="9"/>
  <c r="A2813" i="9"/>
  <c r="A2814" i="9"/>
  <c r="A2815" i="9"/>
  <c r="A2816" i="9"/>
  <c r="A2817" i="9"/>
  <c r="A2818" i="9"/>
  <c r="A2819" i="9"/>
  <c r="A2820" i="9"/>
  <c r="A2821" i="9"/>
  <c r="A2822" i="9"/>
  <c r="A2823" i="9"/>
  <c r="A2824" i="9"/>
  <c r="A2825" i="9"/>
  <c r="A2826" i="9"/>
  <c r="A2827" i="9"/>
  <c r="A2828" i="9"/>
  <c r="A2829" i="9"/>
  <c r="A2830" i="9"/>
  <c r="A2831" i="9"/>
  <c r="A2832" i="9"/>
  <c r="A2833" i="9"/>
  <c r="A2834" i="9"/>
  <c r="A2835" i="9"/>
  <c r="A2836" i="9"/>
  <c r="A2837" i="9"/>
  <c r="A2838" i="9"/>
  <c r="A2839" i="9"/>
  <c r="A2840" i="9"/>
  <c r="A2841" i="9"/>
  <c r="A2842" i="9"/>
  <c r="A2843" i="9"/>
  <c r="A2844" i="9"/>
  <c r="A2845" i="9"/>
  <c r="A2846" i="9"/>
  <c r="A2847" i="9"/>
  <c r="A2848" i="9"/>
  <c r="A2849" i="9"/>
  <c r="A2850" i="9"/>
  <c r="A2851" i="9"/>
  <c r="A2852" i="9"/>
  <c r="A2853" i="9"/>
  <c r="A2854" i="9"/>
  <c r="A2855" i="9"/>
  <c r="A2856" i="9"/>
  <c r="A2857" i="9"/>
  <c r="A2858" i="9"/>
  <c r="A2859" i="9"/>
  <c r="A2860" i="9"/>
  <c r="A2861" i="9"/>
  <c r="A2862" i="9"/>
  <c r="A2863" i="9"/>
  <c r="A2864" i="9"/>
  <c r="A2865" i="9"/>
  <c r="A2866" i="9"/>
  <c r="A2867" i="9"/>
  <c r="A2868" i="9"/>
  <c r="A2869" i="9"/>
  <c r="A2870" i="9"/>
  <c r="A2871" i="9"/>
  <c r="A2872" i="9"/>
  <c r="A2873" i="9"/>
  <c r="A2874" i="9"/>
  <c r="A2875" i="9"/>
  <c r="A2876" i="9"/>
  <c r="A2877" i="9"/>
  <c r="A2878" i="9"/>
  <c r="A2879" i="9"/>
  <c r="A2880" i="9"/>
  <c r="A2881" i="9"/>
  <c r="A2882" i="9"/>
  <c r="A2883" i="9"/>
  <c r="A2884" i="9"/>
  <c r="A2885" i="9"/>
  <c r="A2886" i="9"/>
  <c r="A2887" i="9"/>
  <c r="A2888" i="9"/>
  <c r="A2889" i="9"/>
  <c r="A2890" i="9"/>
  <c r="A2891" i="9"/>
  <c r="A2892" i="9"/>
  <c r="A2893" i="9"/>
  <c r="A2894" i="9"/>
  <c r="A2895" i="9"/>
  <c r="A2896" i="9"/>
  <c r="A2897" i="9"/>
  <c r="A2898" i="9"/>
  <c r="A2899" i="9"/>
  <c r="A2900" i="9"/>
  <c r="A2901" i="9"/>
  <c r="A2902" i="9"/>
  <c r="A2903" i="9"/>
  <c r="A2904" i="9"/>
  <c r="A2905" i="9"/>
  <c r="A2906" i="9"/>
  <c r="A2907" i="9"/>
  <c r="A2908" i="9"/>
  <c r="A2909" i="9"/>
  <c r="A2910" i="9"/>
  <c r="A2911" i="9"/>
  <c r="A2912" i="9"/>
  <c r="A2913" i="9"/>
  <c r="A2914" i="9"/>
  <c r="A2915" i="9"/>
  <c r="A2916" i="9"/>
  <c r="A2917" i="9"/>
  <c r="A2918" i="9"/>
  <c r="A2919" i="9"/>
  <c r="A2920" i="9"/>
  <c r="A2921" i="9"/>
  <c r="A2922" i="9"/>
  <c r="A2923" i="9"/>
  <c r="A2924" i="9"/>
  <c r="A2925" i="9"/>
  <c r="A2926" i="9"/>
  <c r="A2927" i="9"/>
  <c r="A2928" i="9"/>
  <c r="A2929" i="9"/>
  <c r="A2930" i="9"/>
  <c r="A2931" i="9"/>
  <c r="A2932" i="9"/>
  <c r="A2933" i="9"/>
  <c r="A2934" i="9"/>
  <c r="A2935" i="9"/>
  <c r="A2936" i="9"/>
  <c r="A2937" i="9"/>
  <c r="A2938" i="9"/>
  <c r="A2939" i="9"/>
  <c r="A2940" i="9"/>
  <c r="A2941" i="9"/>
  <c r="A2942" i="9"/>
  <c r="A2943" i="9"/>
  <c r="A2944" i="9"/>
  <c r="A2945" i="9"/>
  <c r="A2946" i="9"/>
  <c r="A2947" i="9"/>
  <c r="A2948" i="9"/>
  <c r="A2949" i="9"/>
  <c r="A2950" i="9"/>
  <c r="A2951" i="9"/>
  <c r="A2952" i="9"/>
  <c r="A2953" i="9"/>
  <c r="A2954" i="9"/>
  <c r="A2955" i="9"/>
  <c r="A2956" i="9"/>
  <c r="A2957" i="9"/>
  <c r="A2958" i="9"/>
  <c r="A2959" i="9"/>
  <c r="A2960" i="9"/>
  <c r="A2961" i="9"/>
  <c r="A2962" i="9"/>
  <c r="A2963" i="9"/>
  <c r="A2964" i="9"/>
  <c r="A2965" i="9"/>
  <c r="A2966" i="9"/>
  <c r="A2967" i="9"/>
  <c r="A2968" i="9"/>
  <c r="A2969" i="9"/>
  <c r="A2970" i="9"/>
  <c r="A2971" i="9"/>
  <c r="A2972" i="9"/>
  <c r="A2973" i="9"/>
  <c r="A2974" i="9"/>
  <c r="A2975" i="9"/>
  <c r="A2976" i="9"/>
  <c r="A2977" i="9"/>
  <c r="A2978" i="9"/>
  <c r="A2979" i="9"/>
  <c r="A2980" i="9"/>
  <c r="A2981" i="9"/>
  <c r="A2982" i="9"/>
  <c r="A2983" i="9"/>
  <c r="A2984" i="9"/>
  <c r="A2985" i="9"/>
  <c r="A2986" i="9"/>
  <c r="A2987" i="9"/>
  <c r="A2988" i="9"/>
  <c r="A2989" i="9"/>
  <c r="A2990" i="9"/>
  <c r="A43" i="9"/>
  <c r="D43" i="9" l="1"/>
  <c r="E43" i="9"/>
  <c r="F43" i="9"/>
  <c r="G43" i="9"/>
  <c r="H43" i="9" s="1"/>
  <c r="I43" i="9" s="1"/>
  <c r="O43" i="9"/>
  <c r="P43" i="9" s="1"/>
  <c r="Q43" i="9" s="1"/>
  <c r="R43" i="9" s="1"/>
  <c r="B5" i="13" l="1"/>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16" i="13"/>
  <c r="B917" i="13"/>
  <c r="B918" i="13"/>
  <c r="B919" i="13"/>
  <c r="B920" i="13"/>
  <c r="B921" i="13"/>
  <c r="B922" i="13"/>
  <c r="B923" i="13"/>
  <c r="B924" i="13"/>
  <c r="B925" i="13"/>
  <c r="B926" i="13"/>
  <c r="B927" i="13"/>
  <c r="B928" i="13"/>
  <c r="B929" i="13"/>
  <c r="B930" i="13"/>
  <c r="B931" i="13"/>
  <c r="B932" i="13"/>
  <c r="B933" i="13"/>
  <c r="B934" i="13"/>
  <c r="B935" i="13"/>
  <c r="B936" i="13"/>
  <c r="B937" i="13"/>
  <c r="B938" i="13"/>
  <c r="B939" i="13"/>
  <c r="B940" i="13"/>
  <c r="B941" i="13"/>
  <c r="B942" i="13"/>
  <c r="B943" i="13"/>
  <c r="B944" i="13"/>
  <c r="B945" i="13"/>
  <c r="B946" i="13"/>
  <c r="B947" i="13"/>
  <c r="B948" i="13"/>
  <c r="B949" i="13"/>
  <c r="B950" i="13"/>
  <c r="B951" i="13"/>
  <c r="B952" i="13"/>
  <c r="B953" i="13"/>
  <c r="B954" i="13"/>
  <c r="B955" i="13"/>
  <c r="B956" i="13"/>
  <c r="B957" i="13"/>
  <c r="B958" i="13"/>
  <c r="B959" i="13"/>
  <c r="B960" i="13"/>
  <c r="B961" i="13"/>
  <c r="B962" i="13"/>
  <c r="B963" i="13"/>
  <c r="B964" i="13"/>
  <c r="B965" i="13"/>
  <c r="B966" i="13"/>
  <c r="B967" i="13"/>
  <c r="B968" i="13"/>
  <c r="B969" i="13"/>
  <c r="B970" i="13"/>
  <c r="B971" i="13"/>
  <c r="B972" i="13"/>
  <c r="B973" i="13"/>
  <c r="B974" i="13"/>
  <c r="B975" i="13"/>
  <c r="B976" i="13"/>
  <c r="B977" i="13"/>
  <c r="B978" i="13"/>
  <c r="B979" i="13"/>
  <c r="B980" i="13"/>
  <c r="B981" i="13"/>
  <c r="B982" i="13"/>
  <c r="B983" i="13"/>
  <c r="B984" i="13"/>
  <c r="B985" i="13"/>
  <c r="B986" i="13"/>
  <c r="B987" i="13"/>
  <c r="B988" i="13"/>
  <c r="B989" i="13"/>
  <c r="B990" i="13"/>
  <c r="B991" i="13"/>
  <c r="B992" i="13"/>
  <c r="B993" i="13"/>
  <c r="B994" i="13"/>
  <c r="B995" i="13"/>
  <c r="B996" i="13"/>
  <c r="B997" i="13"/>
  <c r="B998" i="13"/>
  <c r="B999" i="13"/>
  <c r="B1000" i="13"/>
  <c r="B1001" i="13"/>
  <c r="B1002" i="13"/>
  <c r="B1003" i="13"/>
  <c r="B1004" i="13"/>
  <c r="B1005" i="13"/>
  <c r="B1006" i="13"/>
  <c r="B1007" i="13"/>
  <c r="B1008" i="13"/>
  <c r="B1009" i="13"/>
  <c r="B1010" i="13"/>
  <c r="B1011" i="13"/>
  <c r="B1012" i="13"/>
  <c r="B1013" i="13"/>
  <c r="B1014" i="13"/>
  <c r="B1015" i="13"/>
  <c r="B1016" i="13"/>
  <c r="B1017" i="13"/>
  <c r="B1018" i="13"/>
  <c r="B1019" i="13"/>
  <c r="B1020" i="13"/>
  <c r="B1021" i="13"/>
  <c r="B1022" i="13"/>
  <c r="B1023" i="13"/>
  <c r="B1024" i="13"/>
  <c r="B1025" i="13"/>
  <c r="B1026" i="13"/>
  <c r="B1027" i="13"/>
  <c r="B1028" i="13"/>
  <c r="B1029" i="13"/>
  <c r="B1030" i="13"/>
  <c r="B1031" i="13"/>
  <c r="B1032" i="13"/>
  <c r="B1033" i="13"/>
  <c r="B1034" i="13"/>
  <c r="B1035" i="13"/>
  <c r="B1036" i="13"/>
  <c r="B1037" i="13"/>
  <c r="B1038" i="13"/>
  <c r="B1039" i="13"/>
  <c r="B1040" i="13"/>
  <c r="B1041" i="13"/>
  <c r="B1042" i="13"/>
  <c r="B1043" i="13"/>
  <c r="B1044" i="13"/>
  <c r="B1045" i="13"/>
  <c r="B1046" i="13"/>
  <c r="B1047" i="13"/>
  <c r="B1048" i="13"/>
  <c r="B1049" i="13"/>
  <c r="B1050" i="13"/>
  <c r="B1051" i="13"/>
  <c r="B1052" i="13"/>
  <c r="B1053" i="13"/>
  <c r="B1054" i="13"/>
  <c r="B1055" i="13"/>
  <c r="B1056" i="13"/>
  <c r="B1057" i="13"/>
  <c r="B1058" i="13"/>
  <c r="B1059" i="13"/>
  <c r="B1060" i="13"/>
  <c r="B1061" i="13"/>
  <c r="B1062"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04" i="13"/>
  <c r="B1105" i="13"/>
  <c r="B1106" i="13"/>
  <c r="B1107" i="13"/>
  <c r="B1108" i="13"/>
  <c r="B1109" i="13"/>
  <c r="B1110" i="13"/>
  <c r="B1111" i="13"/>
  <c r="B1112" i="13"/>
  <c r="B1113" i="13"/>
  <c r="B1114" i="13"/>
  <c r="B1115" i="13"/>
  <c r="B1116" i="13"/>
  <c r="B1117" i="13"/>
  <c r="B1118" i="13"/>
  <c r="B1119" i="13"/>
  <c r="B1120" i="13"/>
  <c r="B1121" i="13"/>
  <c r="B1122" i="13"/>
  <c r="B1123" i="13"/>
  <c r="B1124" i="13"/>
  <c r="B1125" i="13"/>
  <c r="B1126" i="13"/>
  <c r="B1127" i="13"/>
  <c r="B1128" i="13"/>
  <c r="B1129" i="13"/>
  <c r="B1130" i="13"/>
  <c r="B1131" i="13"/>
  <c r="B1132" i="13"/>
  <c r="B1133" i="13"/>
  <c r="B1134" i="13"/>
  <c r="B1135" i="13"/>
  <c r="B1136" i="13"/>
  <c r="B1137" i="13"/>
  <c r="B1138" i="13"/>
  <c r="B1139" i="13"/>
  <c r="B1140" i="13"/>
  <c r="B1141" i="13"/>
  <c r="B1142" i="13"/>
  <c r="B1143" i="13"/>
  <c r="B1144" i="13"/>
  <c r="B1145" i="13"/>
  <c r="B1146" i="13"/>
  <c r="B1147" i="13"/>
  <c r="B1148" i="13"/>
  <c r="B1149" i="13"/>
  <c r="B1150" i="13"/>
  <c r="B1151" i="13"/>
  <c r="B1152" i="13"/>
  <c r="B1153" i="13"/>
  <c r="B1154" i="13"/>
  <c r="B1155" i="13"/>
  <c r="B1156" i="13"/>
  <c r="B1157" i="13"/>
  <c r="B1158" i="13"/>
  <c r="B1159" i="13"/>
  <c r="B1160" i="13"/>
  <c r="B1161" i="13"/>
  <c r="B1162"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3" i="13"/>
  <c r="B1194" i="13"/>
  <c r="B1195" i="13"/>
  <c r="B1196" i="13"/>
  <c r="B1197" i="13"/>
  <c r="B1198" i="13"/>
  <c r="B1199" i="13"/>
  <c r="B1200" i="13"/>
  <c r="B1201" i="13"/>
  <c r="B1202" i="13"/>
  <c r="B1203" i="13"/>
  <c r="B1204" i="13"/>
  <c r="B1205" i="13"/>
  <c r="B1206" i="13"/>
  <c r="B1207" i="13"/>
  <c r="B1208" i="13"/>
  <c r="B1209" i="13"/>
  <c r="B1210" i="13"/>
  <c r="B1211" i="13"/>
  <c r="B1212" i="13"/>
  <c r="B1213" i="13"/>
  <c r="B1214" i="13"/>
  <c r="B1215" i="13"/>
  <c r="B1216" i="13"/>
  <c r="B1217" i="13"/>
  <c r="B1218" i="13"/>
  <c r="B1219" i="13"/>
  <c r="B1220" i="13"/>
  <c r="B1221" i="13"/>
  <c r="B1222" i="13"/>
  <c r="B1223" i="13"/>
  <c r="B1224" i="13"/>
  <c r="B1225" i="13"/>
  <c r="B1226" i="13"/>
  <c r="B1227" i="13"/>
  <c r="B1228" i="13"/>
  <c r="B1229" i="13"/>
  <c r="B1230" i="13"/>
  <c r="B1231" i="13"/>
  <c r="B1232" i="13"/>
  <c r="B1233" i="13"/>
  <c r="B1234" i="13"/>
  <c r="B1235" i="13"/>
  <c r="B1236" i="13"/>
  <c r="B1237" i="13"/>
  <c r="B1238" i="13"/>
  <c r="B1239" i="13"/>
  <c r="B1240" i="13"/>
  <c r="B1241" i="13"/>
  <c r="B1242" i="13"/>
  <c r="B1243" i="13"/>
  <c r="B1244" i="13"/>
  <c r="B1245" i="13"/>
  <c r="B1246" i="13"/>
  <c r="B1247" i="13"/>
  <c r="B1248" i="13"/>
  <c r="B1249" i="13"/>
  <c r="B1250" i="13"/>
  <c r="B1251" i="13"/>
  <c r="B1252" i="13"/>
  <c r="B1253" i="13"/>
  <c r="B1254" i="13"/>
  <c r="B1255" i="13"/>
  <c r="B1256" i="13"/>
  <c r="B1257" i="13"/>
  <c r="B1258" i="13"/>
  <c r="B1259" i="13"/>
  <c r="B1260" i="13"/>
  <c r="B1261" i="13"/>
  <c r="B1262" i="13"/>
  <c r="B1263" i="13"/>
  <c r="B1264" i="13"/>
  <c r="B1265" i="13"/>
  <c r="B1266" i="13"/>
  <c r="B1267" i="13"/>
  <c r="B1268" i="13"/>
  <c r="B1269" i="13"/>
  <c r="B1270" i="13"/>
  <c r="B1271" i="13"/>
  <c r="B1272" i="13"/>
  <c r="B1273" i="13"/>
  <c r="B1274" i="13"/>
  <c r="B1275" i="13"/>
  <c r="B1276" i="13"/>
  <c r="B1277" i="13"/>
  <c r="B1278" i="13"/>
  <c r="B1279" i="13"/>
  <c r="B1280" i="13"/>
  <c r="B1281" i="13"/>
  <c r="B1282" i="13"/>
  <c r="B1283" i="13"/>
  <c r="B1284" i="13"/>
  <c r="B1285" i="13"/>
  <c r="B1286" i="13"/>
  <c r="B1287" i="13"/>
  <c r="B1288" i="13"/>
  <c r="B1289" i="13"/>
  <c r="B1290" i="13"/>
  <c r="B1291" i="13"/>
  <c r="B1292" i="13"/>
  <c r="B1293" i="13"/>
  <c r="B1294" i="13"/>
  <c r="B1295" i="13"/>
  <c r="B1296" i="13"/>
  <c r="B1297" i="13"/>
  <c r="B1298" i="13"/>
  <c r="B1299" i="13"/>
  <c r="B1300" i="13"/>
  <c r="B1301" i="13"/>
  <c r="B1302" i="13"/>
  <c r="B1303" i="13"/>
  <c r="B1304" i="13"/>
  <c r="B1305" i="13"/>
  <c r="B1306" i="13"/>
  <c r="B1307" i="13"/>
  <c r="B1308" i="13"/>
  <c r="B1309" i="13"/>
  <c r="B1310" i="13"/>
  <c r="B1311" i="13"/>
  <c r="B1312" i="13"/>
  <c r="B1313" i="13"/>
  <c r="B1314" i="13"/>
  <c r="B1315" i="13"/>
  <c r="B1316" i="13"/>
  <c r="B1317" i="13"/>
  <c r="B1318" i="13"/>
  <c r="B1319" i="13"/>
  <c r="B1320" i="13"/>
  <c r="B1321" i="13"/>
  <c r="B1322" i="13"/>
  <c r="B1323" i="13"/>
  <c r="B1324" i="13"/>
  <c r="B1325" i="13"/>
  <c r="B1326" i="13"/>
  <c r="B1327" i="13"/>
  <c r="B1328" i="13"/>
  <c r="B1329" i="13"/>
  <c r="B1330" i="13"/>
  <c r="B1331" i="13"/>
  <c r="B1332" i="13"/>
  <c r="B1333" i="13"/>
  <c r="B1334" i="13"/>
  <c r="B1335" i="13"/>
  <c r="B1336" i="13"/>
  <c r="B1337" i="13"/>
  <c r="B1338" i="13"/>
  <c r="B1339" i="13"/>
  <c r="B1340" i="13"/>
  <c r="B1341" i="13"/>
  <c r="B1342" i="13"/>
  <c r="B1343" i="13"/>
  <c r="B1344" i="13"/>
  <c r="B1345" i="13"/>
  <c r="B1346" i="13"/>
  <c r="B1347" i="13"/>
  <c r="B1348" i="13"/>
  <c r="B1349" i="13"/>
  <c r="B1350" i="13"/>
  <c r="B1351" i="13"/>
  <c r="B1352" i="13"/>
  <c r="B1353" i="13"/>
  <c r="B1354" i="13"/>
  <c r="B1355" i="13"/>
  <c r="B1356" i="13"/>
  <c r="B1357" i="13"/>
  <c r="B1358" i="13"/>
  <c r="B1359" i="13"/>
  <c r="B1360" i="13"/>
  <c r="B1361" i="13"/>
  <c r="B1362" i="13"/>
  <c r="B1363" i="13"/>
  <c r="B1364" i="13"/>
  <c r="B1365" i="13"/>
  <c r="B1366" i="13"/>
  <c r="B1367" i="13"/>
  <c r="B1368" i="13"/>
  <c r="B1369" i="13"/>
  <c r="B1370" i="13"/>
  <c r="B1371" i="13"/>
  <c r="B1372" i="13"/>
  <c r="B1373" i="13"/>
  <c r="B1374" i="13"/>
  <c r="B1375" i="13"/>
  <c r="B1376" i="13"/>
  <c r="B1377" i="13"/>
  <c r="B1378" i="13"/>
  <c r="B1379" i="13"/>
  <c r="B1380" i="13"/>
  <c r="B1381" i="13"/>
  <c r="B1382" i="13"/>
  <c r="B1383" i="13"/>
  <c r="B1384" i="13"/>
  <c r="B1385" i="13"/>
  <c r="B1386" i="13"/>
  <c r="B1387" i="13"/>
  <c r="B1388" i="13"/>
  <c r="B1389" i="13"/>
  <c r="B1390" i="13"/>
  <c r="B1391" i="13"/>
  <c r="B1392" i="13"/>
  <c r="B1393" i="13"/>
  <c r="B1394" i="13"/>
  <c r="B1395" i="13"/>
  <c r="B1396" i="13"/>
  <c r="B1397" i="13"/>
  <c r="B1398" i="13"/>
  <c r="B1399" i="13"/>
  <c r="B1400" i="13"/>
  <c r="B1401" i="13"/>
  <c r="B1402" i="13"/>
  <c r="B1403" i="13"/>
  <c r="B1404" i="13"/>
  <c r="B1405" i="13"/>
  <c r="B1406" i="13"/>
  <c r="B1407" i="13"/>
  <c r="B1408" i="13"/>
  <c r="B1409" i="13"/>
  <c r="B1410" i="13"/>
  <c r="B1411" i="13"/>
  <c r="B1412" i="13"/>
  <c r="B1413" i="13"/>
  <c r="B1414" i="13"/>
  <c r="B1415" i="13"/>
  <c r="B1416" i="13"/>
  <c r="B1417" i="13"/>
  <c r="B1418" i="13"/>
  <c r="B1419" i="13"/>
  <c r="B1420" i="13"/>
  <c r="B1421" i="13"/>
  <c r="B1422" i="13"/>
  <c r="B1423" i="13"/>
  <c r="B1424" i="13"/>
  <c r="B1425" i="13"/>
  <c r="B1426" i="13"/>
  <c r="B1427" i="13"/>
  <c r="B1428" i="13"/>
  <c r="B1429" i="13"/>
  <c r="B1430" i="13"/>
  <c r="B1431" i="13"/>
  <c r="B1432" i="13"/>
  <c r="B1433" i="13"/>
  <c r="B1434" i="13"/>
  <c r="B1435" i="13"/>
  <c r="B1436" i="13"/>
  <c r="B1437" i="13"/>
  <c r="B1438" i="13"/>
  <c r="B1439" i="13"/>
  <c r="B1440" i="13"/>
  <c r="B1441" i="13"/>
  <c r="B1442" i="13"/>
  <c r="B1443" i="13"/>
  <c r="B1444" i="13"/>
  <c r="B1445" i="13"/>
  <c r="B1446" i="13"/>
  <c r="B1447" i="13"/>
  <c r="B1448" i="13"/>
  <c r="B1449" i="13"/>
  <c r="B1450" i="13"/>
  <c r="B1451" i="13"/>
  <c r="B1452" i="13"/>
  <c r="B1453" i="13"/>
  <c r="B1454" i="13"/>
  <c r="B1455" i="13"/>
  <c r="B1456" i="13"/>
  <c r="B1457" i="13"/>
  <c r="B1458" i="13"/>
  <c r="B1459" i="13"/>
  <c r="B1460" i="13"/>
  <c r="B1461" i="13"/>
  <c r="B1462" i="13"/>
  <c r="B1463" i="13"/>
  <c r="B1464" i="13"/>
  <c r="B1465" i="13"/>
  <c r="B1466" i="13"/>
  <c r="B1467" i="13"/>
  <c r="B1468" i="13"/>
  <c r="B1469" i="13"/>
  <c r="B1470" i="13"/>
  <c r="B1471" i="13"/>
  <c r="B1472" i="13"/>
  <c r="B1473" i="13"/>
  <c r="B1474" i="13"/>
  <c r="B1475" i="13"/>
  <c r="B1476" i="13"/>
  <c r="B1477" i="13"/>
  <c r="B1478" i="13"/>
  <c r="B1479" i="13"/>
  <c r="B1480" i="13"/>
  <c r="B1481" i="13"/>
  <c r="B1482" i="13"/>
  <c r="B1483" i="13"/>
  <c r="B1484" i="13"/>
  <c r="B1485" i="13"/>
  <c r="B1486" i="13"/>
  <c r="B1487" i="13"/>
  <c r="B1488" i="13"/>
  <c r="B1489" i="13"/>
  <c r="B1490" i="13"/>
  <c r="B1491" i="13"/>
  <c r="B1492" i="13"/>
  <c r="B1493" i="13"/>
  <c r="B1494" i="13"/>
  <c r="B1495" i="13"/>
  <c r="B1496" i="13"/>
  <c r="B1497" i="13"/>
  <c r="B1498" i="13"/>
  <c r="B1499" i="13"/>
  <c r="B1500" i="13"/>
  <c r="B1501" i="13"/>
  <c r="B1502" i="13"/>
  <c r="B1503" i="13"/>
  <c r="B1504" i="13"/>
  <c r="B1505" i="13"/>
  <c r="B1506" i="13"/>
  <c r="B1507" i="13"/>
  <c r="B1508" i="13"/>
  <c r="B1509" i="13"/>
  <c r="B1510" i="13"/>
  <c r="B1511" i="13"/>
  <c r="B1512" i="13"/>
  <c r="B1513" i="13"/>
  <c r="B1514" i="13"/>
  <c r="B1515" i="13"/>
  <c r="B1516" i="13"/>
  <c r="B1517" i="13"/>
  <c r="B1518" i="13"/>
  <c r="B1519" i="13"/>
  <c r="B1520" i="13"/>
  <c r="B1521" i="13"/>
  <c r="B1522" i="13"/>
  <c r="B1523" i="13"/>
  <c r="B1524" i="13"/>
  <c r="B1525" i="13"/>
  <c r="B1526" i="13"/>
  <c r="B1527" i="13"/>
  <c r="B1528" i="13"/>
  <c r="B1529" i="13"/>
  <c r="B1530" i="13"/>
  <c r="B1531" i="13"/>
  <c r="B1532" i="13"/>
  <c r="B1533" i="13"/>
  <c r="B1534" i="13"/>
  <c r="B1535" i="13"/>
  <c r="B1536" i="13"/>
  <c r="B1537" i="13"/>
  <c r="B1538" i="13"/>
  <c r="B1539" i="13"/>
  <c r="B1540" i="13"/>
  <c r="B1541" i="13"/>
  <c r="B1542" i="13"/>
  <c r="B1543" i="13"/>
  <c r="B1544" i="13"/>
  <c r="B1545" i="13"/>
  <c r="B1546" i="13"/>
  <c r="B1547" i="13"/>
  <c r="B1548" i="13"/>
  <c r="B1549" i="13"/>
  <c r="B1550" i="13"/>
  <c r="B1551" i="13"/>
  <c r="B1552" i="13"/>
  <c r="B1553" i="13"/>
  <c r="B1554" i="13"/>
  <c r="B1555" i="13"/>
  <c r="B1556" i="13"/>
  <c r="B1557" i="13"/>
  <c r="B1558" i="13"/>
  <c r="B1559" i="13"/>
  <c r="B1560" i="13"/>
  <c r="B1561" i="13"/>
  <c r="B1562" i="13"/>
  <c r="B1563" i="13"/>
  <c r="B1564" i="13"/>
  <c r="B1565" i="13"/>
  <c r="B1566" i="13"/>
  <c r="B1567" i="13"/>
  <c r="B1568" i="13"/>
  <c r="B1569" i="13"/>
  <c r="B1570" i="13"/>
  <c r="B1571" i="13"/>
  <c r="B1572" i="13"/>
  <c r="B1573" i="13"/>
  <c r="B1574" i="13"/>
  <c r="B1575" i="13"/>
  <c r="B1576" i="13"/>
  <c r="B1577" i="13"/>
  <c r="B1578" i="13"/>
  <c r="B1579" i="13"/>
  <c r="B1580" i="13"/>
  <c r="B1581" i="13"/>
  <c r="B1582" i="13"/>
  <c r="B1583" i="13"/>
  <c r="B1584" i="13"/>
  <c r="B1585" i="13"/>
  <c r="B1586" i="13"/>
  <c r="B1587" i="13"/>
  <c r="B1588" i="13"/>
  <c r="B1589" i="13"/>
  <c r="B1590" i="13"/>
  <c r="B1591" i="13"/>
  <c r="B1592" i="13"/>
  <c r="B1593" i="13"/>
  <c r="B1594" i="13"/>
  <c r="B1595" i="13"/>
  <c r="B1596" i="13"/>
  <c r="B1597" i="13"/>
  <c r="B1598" i="13"/>
  <c r="B1599" i="13"/>
  <c r="B1600" i="13"/>
  <c r="B1601" i="13"/>
  <c r="B1602" i="13"/>
  <c r="B1603" i="13"/>
  <c r="B1604" i="13"/>
  <c r="B1605" i="13"/>
  <c r="B1606" i="13"/>
  <c r="B1607" i="13"/>
  <c r="B1608" i="13"/>
  <c r="B1609" i="13"/>
  <c r="B1610" i="13"/>
  <c r="B1611" i="13"/>
  <c r="B1612" i="13"/>
  <c r="B1613" i="13"/>
  <c r="B1614" i="13"/>
  <c r="B1615" i="13"/>
  <c r="B1616" i="13"/>
  <c r="B1617" i="13"/>
  <c r="B1618" i="13"/>
  <c r="B1619" i="13"/>
  <c r="B1620" i="13"/>
  <c r="B1621" i="13"/>
  <c r="B1622" i="13"/>
  <c r="B1623" i="13"/>
  <c r="B1624" i="13"/>
  <c r="B1625" i="13"/>
  <c r="B1626" i="13"/>
  <c r="B1627" i="13"/>
  <c r="B1628" i="13"/>
  <c r="B1629" i="13"/>
  <c r="B1630" i="13"/>
  <c r="B1631" i="13"/>
  <c r="B1632" i="13"/>
  <c r="B1633" i="13"/>
  <c r="B1634" i="13"/>
  <c r="B1635" i="13"/>
  <c r="B1636" i="13"/>
  <c r="B1637" i="13"/>
  <c r="B1638" i="13"/>
  <c r="B1639" i="13"/>
  <c r="B1640" i="13"/>
  <c r="B1641" i="13"/>
  <c r="B1642" i="13"/>
  <c r="B1643" i="13"/>
  <c r="B1644" i="13"/>
  <c r="B1645" i="13"/>
  <c r="B1646" i="13"/>
  <c r="B1647" i="13"/>
  <c r="B1648" i="13"/>
  <c r="B1649" i="13"/>
  <c r="B1650" i="13"/>
  <c r="B1651" i="13"/>
  <c r="B1652" i="13"/>
  <c r="B1653" i="13"/>
  <c r="B1654" i="13"/>
  <c r="B1655" i="13"/>
  <c r="B1656" i="13"/>
  <c r="B1657" i="13"/>
  <c r="B1658" i="13"/>
  <c r="B1659" i="13"/>
  <c r="B1660" i="13"/>
  <c r="B1661" i="13"/>
  <c r="B1662" i="13"/>
  <c r="B1663" i="13"/>
  <c r="B1664" i="13"/>
  <c r="B1665" i="13"/>
  <c r="B1666" i="13"/>
  <c r="B1667" i="13"/>
  <c r="B1668" i="13"/>
  <c r="B1669" i="13"/>
  <c r="B1670" i="13"/>
  <c r="B1671" i="13"/>
  <c r="B1672" i="13"/>
  <c r="B1673" i="13"/>
  <c r="B1674" i="13"/>
  <c r="B1675" i="13"/>
  <c r="B1676" i="13"/>
  <c r="B1677" i="13"/>
  <c r="B1678" i="13"/>
  <c r="B1679" i="13"/>
  <c r="B1680" i="13"/>
  <c r="B1681" i="13"/>
  <c r="B1682" i="13"/>
  <c r="B1683" i="13"/>
  <c r="B1684" i="13"/>
  <c r="B1685" i="13"/>
  <c r="B1686" i="13"/>
  <c r="B1687" i="13"/>
  <c r="B1688" i="13"/>
  <c r="B1689" i="13"/>
  <c r="B1690" i="13"/>
  <c r="B1691" i="13"/>
  <c r="B1692" i="13"/>
  <c r="B1693" i="13"/>
  <c r="B1694" i="13"/>
  <c r="B1695" i="13"/>
  <c r="B1696" i="13"/>
  <c r="B1697" i="13"/>
  <c r="B1698" i="13"/>
  <c r="B1699" i="13"/>
  <c r="B1700" i="13"/>
  <c r="B1701" i="13"/>
  <c r="B1702" i="13"/>
  <c r="B1703" i="13"/>
  <c r="B1704" i="13"/>
  <c r="B1705" i="13"/>
  <c r="B1706" i="13"/>
  <c r="B1707" i="13"/>
  <c r="B1708" i="13"/>
  <c r="B1709" i="13"/>
  <c r="B1710" i="13"/>
  <c r="B1711" i="13"/>
  <c r="B1712" i="13"/>
  <c r="B1713" i="13"/>
  <c r="B1714" i="13"/>
  <c r="B1715" i="13"/>
  <c r="B1716" i="13"/>
  <c r="B1717" i="13"/>
  <c r="B1718" i="13"/>
  <c r="B1719" i="13"/>
  <c r="B1720" i="13"/>
  <c r="B1721" i="13"/>
  <c r="B1722" i="13"/>
  <c r="B1723" i="13"/>
  <c r="B1724" i="13"/>
  <c r="B1725" i="13"/>
  <c r="B1726" i="13"/>
  <c r="B1727" i="13"/>
  <c r="B1728" i="13"/>
  <c r="B1729" i="13"/>
  <c r="B1730" i="13"/>
  <c r="B1731" i="13"/>
  <c r="B1732" i="13"/>
  <c r="B1733" i="13"/>
  <c r="B1734" i="13"/>
  <c r="B1735" i="13"/>
  <c r="B1736" i="13"/>
  <c r="B1737" i="13"/>
  <c r="B1738" i="13"/>
  <c r="B1739" i="13"/>
  <c r="B1740" i="13"/>
  <c r="B1741" i="13"/>
  <c r="B1742" i="13"/>
  <c r="B1743" i="13"/>
  <c r="B1744" i="13"/>
  <c r="B1745" i="13"/>
  <c r="B1746" i="13"/>
  <c r="B1747" i="13"/>
  <c r="B1748" i="13"/>
  <c r="B1749" i="13"/>
  <c r="B1750" i="13"/>
  <c r="B1751" i="13"/>
  <c r="B1752" i="13"/>
  <c r="B1753" i="13"/>
  <c r="B1754" i="13"/>
  <c r="B1755" i="13"/>
  <c r="B1756" i="13"/>
  <c r="B1757" i="13"/>
  <c r="B1758" i="13"/>
  <c r="B1759" i="13"/>
  <c r="B1760" i="13"/>
  <c r="B1761" i="13"/>
  <c r="B1762" i="13"/>
  <c r="B1763" i="13"/>
  <c r="B1764" i="13"/>
  <c r="B1765" i="13"/>
  <c r="B1766" i="13"/>
  <c r="B1767" i="13"/>
  <c r="B1768" i="13"/>
  <c r="B1769" i="13"/>
  <c r="B1770" i="13"/>
  <c r="B1771" i="13"/>
  <c r="B1772" i="13"/>
  <c r="B1773" i="13"/>
  <c r="B1774" i="13"/>
  <c r="B1775" i="13"/>
  <c r="B1776" i="13"/>
  <c r="B1777" i="13"/>
  <c r="B1778" i="13"/>
  <c r="B1779" i="13"/>
  <c r="B1780" i="13"/>
  <c r="B1781" i="13"/>
  <c r="B1782" i="13"/>
  <c r="B1783" i="13"/>
  <c r="B1784" i="13"/>
  <c r="B1785" i="13"/>
  <c r="B1786" i="13"/>
  <c r="B1787" i="13"/>
  <c r="B1788" i="13"/>
  <c r="B1789" i="13"/>
  <c r="B1790" i="13"/>
  <c r="B1791" i="13"/>
  <c r="B1792" i="13"/>
  <c r="B1793" i="13"/>
  <c r="B1794" i="13"/>
  <c r="B1795" i="13"/>
  <c r="B1796" i="13"/>
  <c r="B1797" i="13"/>
  <c r="B1798" i="13"/>
  <c r="B1799" i="13"/>
  <c r="B1800" i="13"/>
  <c r="B1801" i="13"/>
  <c r="B1802" i="13"/>
  <c r="B1803" i="13"/>
  <c r="B1804" i="13"/>
  <c r="B1805" i="13"/>
  <c r="B1806" i="13"/>
  <c r="B1807" i="13"/>
  <c r="B1808" i="13"/>
  <c r="B1809" i="13"/>
  <c r="B1810" i="13"/>
  <c r="B1811" i="13"/>
  <c r="B1812" i="13"/>
  <c r="B1813" i="13"/>
  <c r="B1814" i="13"/>
  <c r="B1815" i="13"/>
  <c r="B1816" i="13"/>
  <c r="B1817" i="13"/>
  <c r="B1818" i="13"/>
  <c r="B1819" i="13"/>
  <c r="B1820" i="13"/>
  <c r="B1821" i="13"/>
  <c r="B1822" i="13"/>
  <c r="B1823" i="13"/>
  <c r="B1824" i="13"/>
  <c r="B1825" i="13"/>
  <c r="B1826" i="13"/>
  <c r="B1827" i="13"/>
  <c r="B1828" i="13"/>
  <c r="B1829" i="13"/>
  <c r="B1830" i="13"/>
  <c r="B1831" i="13"/>
  <c r="B1832" i="13"/>
  <c r="B1833" i="13"/>
  <c r="B1834" i="13"/>
  <c r="B1835" i="13"/>
  <c r="B1836" i="13"/>
  <c r="B1837" i="13"/>
  <c r="B1838" i="13"/>
  <c r="B1839" i="13"/>
  <c r="B1840" i="13"/>
  <c r="B1841" i="13"/>
  <c r="B1842" i="13"/>
  <c r="B1843" i="13"/>
  <c r="B1844" i="13"/>
  <c r="B1845" i="13"/>
  <c r="B1846" i="13"/>
  <c r="B1847" i="13"/>
  <c r="B1848" i="13"/>
  <c r="B1849" i="13"/>
  <c r="B1850" i="13"/>
  <c r="B1851" i="13"/>
  <c r="B1852" i="13"/>
  <c r="B1853" i="13"/>
  <c r="B1854" i="13"/>
  <c r="B1855" i="13"/>
  <c r="B1856" i="13"/>
  <c r="B1857" i="13"/>
  <c r="B1858" i="13"/>
  <c r="B1859" i="13"/>
  <c r="B1860" i="13"/>
  <c r="B1861" i="13"/>
  <c r="B1862" i="13"/>
  <c r="B1863" i="13"/>
  <c r="B1864" i="13"/>
  <c r="B1865" i="13"/>
  <c r="B1866" i="13"/>
  <c r="B1867" i="13"/>
  <c r="B1868" i="13"/>
  <c r="B1869" i="13"/>
  <c r="B1870" i="13"/>
  <c r="B1871" i="13"/>
  <c r="B1872" i="13"/>
  <c r="B1873" i="13"/>
  <c r="B1874" i="13"/>
  <c r="B1875" i="13"/>
  <c r="B1876" i="13"/>
  <c r="B1877" i="13"/>
  <c r="B1878" i="13"/>
  <c r="B1879" i="13"/>
  <c r="B1880" i="13"/>
  <c r="B1881" i="13"/>
  <c r="B1882" i="13"/>
  <c r="B1883" i="13"/>
  <c r="B1884" i="13"/>
  <c r="B1885" i="13"/>
  <c r="B1886" i="13"/>
  <c r="B1887" i="13"/>
  <c r="B1888" i="13"/>
  <c r="B1889" i="13"/>
  <c r="B1890" i="13"/>
  <c r="B1891" i="13"/>
  <c r="B1892" i="13"/>
  <c r="B1893" i="13"/>
  <c r="B1894" i="13"/>
  <c r="B1895" i="13"/>
  <c r="B1896" i="13"/>
  <c r="B1897" i="13"/>
  <c r="B1898" i="13"/>
  <c r="B1899" i="13"/>
  <c r="B1900" i="13"/>
  <c r="B1901" i="13"/>
  <c r="B1902" i="13"/>
  <c r="B1903" i="13"/>
  <c r="B1904" i="13"/>
  <c r="B1905" i="13"/>
  <c r="B1906" i="13"/>
  <c r="B1907" i="13"/>
  <c r="B1908" i="13"/>
  <c r="B1909" i="13"/>
  <c r="B1910" i="13"/>
  <c r="B1911" i="13"/>
  <c r="B1912" i="13"/>
  <c r="B1913" i="13"/>
  <c r="B1914" i="13"/>
  <c r="B1915" i="13"/>
  <c r="B1916" i="13"/>
  <c r="B1917" i="13"/>
  <c r="B1918" i="13"/>
  <c r="B1919" i="13"/>
  <c r="B1920" i="13"/>
  <c r="B1921" i="13"/>
  <c r="B1922" i="13"/>
  <c r="B1923" i="13"/>
  <c r="B1924" i="13"/>
  <c r="B1925" i="13"/>
  <c r="B1926" i="13"/>
  <c r="B1927" i="13"/>
  <c r="B1928" i="13"/>
  <c r="B1929" i="13"/>
  <c r="B1930" i="13"/>
  <c r="B1931" i="13"/>
  <c r="B1932" i="13"/>
  <c r="B1933" i="13"/>
  <c r="B1934" i="13"/>
  <c r="B1935" i="13"/>
  <c r="B1936" i="13"/>
  <c r="B1937" i="13"/>
  <c r="B1938" i="13"/>
  <c r="B1939" i="13"/>
  <c r="B1940" i="13"/>
  <c r="B1941" i="13"/>
  <c r="B1942" i="13"/>
  <c r="B1943" i="13"/>
  <c r="B1944" i="13"/>
  <c r="B1945" i="13"/>
  <c r="B1946" i="13"/>
  <c r="B1947" i="13"/>
  <c r="B1948" i="13"/>
  <c r="B1949" i="13"/>
  <c r="B1950" i="13"/>
  <c r="B1951" i="13"/>
  <c r="B1952" i="13"/>
  <c r="B1953" i="13"/>
  <c r="B1954" i="13"/>
  <c r="B1955" i="13"/>
  <c r="B1956" i="13"/>
  <c r="B1957" i="13"/>
  <c r="B1958" i="13"/>
  <c r="B1959" i="13"/>
  <c r="B1960" i="13"/>
  <c r="B1961" i="13"/>
  <c r="B1962" i="13"/>
  <c r="B1963" i="13"/>
  <c r="B1964" i="13"/>
  <c r="B1965" i="13"/>
  <c r="B1966" i="13"/>
  <c r="B1967" i="13"/>
  <c r="B1968" i="13"/>
  <c r="B1969" i="13"/>
  <c r="B1970" i="13"/>
  <c r="B1971" i="13"/>
  <c r="B1972" i="13"/>
  <c r="B1973" i="13"/>
  <c r="B1974" i="13"/>
  <c r="B1975" i="13"/>
  <c r="B1976" i="13"/>
  <c r="B1977" i="13"/>
  <c r="B1978" i="13"/>
  <c r="B1979" i="13"/>
  <c r="B1980" i="13"/>
  <c r="B1981" i="13"/>
  <c r="B1982" i="13"/>
  <c r="B1983" i="13"/>
  <c r="B1984" i="13"/>
  <c r="B1985" i="13"/>
  <c r="B1986" i="13"/>
  <c r="B1987" i="13"/>
  <c r="B1988" i="13"/>
  <c r="B1989" i="13"/>
  <c r="B1990" i="13"/>
  <c r="B1991" i="13"/>
  <c r="B1992" i="13"/>
  <c r="B1993" i="13"/>
  <c r="B1994" i="13"/>
  <c r="B1995" i="13"/>
  <c r="B1996" i="13"/>
  <c r="B1997" i="13"/>
  <c r="B1998" i="13"/>
  <c r="B1999" i="13"/>
  <c r="B2000" i="13"/>
  <c r="B2001" i="13"/>
  <c r="B2002" i="13"/>
  <c r="B2003" i="13"/>
  <c r="B2004" i="13"/>
  <c r="B2005" i="13"/>
  <c r="B2006" i="13"/>
  <c r="B2007" i="13"/>
  <c r="B2008" i="13"/>
  <c r="B2009" i="13"/>
  <c r="B2010" i="13"/>
  <c r="B2011" i="13"/>
  <c r="B2012" i="13"/>
  <c r="B2013" i="13"/>
  <c r="B2014" i="13"/>
  <c r="B2015" i="13"/>
  <c r="B2016" i="13"/>
  <c r="B2017" i="13"/>
  <c r="B2018" i="13"/>
  <c r="B2019" i="13"/>
  <c r="B2020" i="13"/>
  <c r="B2021" i="13"/>
  <c r="B2022" i="13"/>
  <c r="B2023" i="13"/>
  <c r="B2024" i="13"/>
  <c r="B2025" i="13"/>
  <c r="B2026" i="13"/>
  <c r="B2027" i="13"/>
  <c r="B2028" i="13"/>
  <c r="B2029" i="13"/>
  <c r="B2030" i="13"/>
  <c r="B4" i="13"/>
  <c r="L84" i="13" l="1"/>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4" i="13"/>
  <c r="A5" i="10" l="1"/>
  <c r="J5"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J57" i="13"/>
  <c r="J58" i="13"/>
  <c r="J59" i="13"/>
  <c r="J60" i="13"/>
  <c r="J61" i="13"/>
  <c r="J62" i="13"/>
  <c r="J63" i="13"/>
  <c r="J64" i="13"/>
  <c r="J65" i="13"/>
  <c r="J66" i="13"/>
  <c r="J67" i="13"/>
  <c r="J68" i="13"/>
  <c r="J69" i="13"/>
  <c r="J70" i="13"/>
  <c r="J71" i="13"/>
  <c r="J72" i="13"/>
  <c r="J73" i="13"/>
  <c r="J74" i="13"/>
  <c r="J75" i="13"/>
  <c r="J76" i="13"/>
  <c r="J77" i="13"/>
  <c r="J78" i="13"/>
  <c r="J79" i="13"/>
  <c r="J80" i="13"/>
  <c r="J81" i="13"/>
  <c r="J82" i="13"/>
  <c r="J83" i="13"/>
  <c r="J84" i="13"/>
  <c r="J4" i="13"/>
  <c r="A6" i="9" l="1"/>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A2750" i="1"/>
  <c r="A2751" i="1"/>
  <c r="A2752" i="1"/>
  <c r="A2753" i="1"/>
  <c r="A2754" i="1"/>
  <c r="A2755" i="1"/>
  <c r="A2756" i="1"/>
  <c r="A2757" i="1"/>
  <c r="A2758" i="1"/>
  <c r="A2759" i="1"/>
  <c r="A2760" i="1"/>
  <c r="A2761" i="1"/>
  <c r="A2762" i="1"/>
  <c r="A2763" i="1"/>
  <c r="A2764" i="1"/>
  <c r="A2765" i="1"/>
  <c r="A2766" i="1"/>
  <c r="A2767" i="1"/>
  <c r="A2768" i="1"/>
  <c r="A2769" i="1"/>
  <c r="A2770" i="1"/>
  <c r="A2771" i="1"/>
  <c r="A2772" i="1"/>
  <c r="A2773" i="1"/>
  <c r="A2774" i="1"/>
  <c r="A2775" i="1"/>
  <c r="A2776" i="1"/>
  <c r="A2777" i="1"/>
  <c r="A2778" i="1"/>
  <c r="A2779" i="1"/>
  <c r="A2780" i="1"/>
  <c r="A2781" i="1"/>
  <c r="A2782" i="1"/>
  <c r="A2783" i="1"/>
  <c r="A2784" i="1"/>
  <c r="A2785" i="1"/>
  <c r="A2786" i="1"/>
  <c r="A2787" i="1"/>
  <c r="A2788" i="1"/>
  <c r="A2789" i="1"/>
  <c r="A2790" i="1"/>
  <c r="A2791" i="1"/>
  <c r="A2792" i="1"/>
  <c r="A2793" i="1"/>
  <c r="A2794" i="1"/>
  <c r="A2795" i="1"/>
  <c r="A2796" i="1"/>
  <c r="A2797" i="1"/>
  <c r="A2798" i="1"/>
  <c r="A2799" i="1"/>
  <c r="A2800" i="1"/>
  <c r="A2801" i="1"/>
  <c r="A2802" i="1"/>
  <c r="A2803" i="1"/>
  <c r="A2804" i="1"/>
  <c r="A2805" i="1"/>
  <c r="A2806" i="1"/>
  <c r="A2807" i="1"/>
  <c r="A2808" i="1"/>
  <c r="A2809" i="1"/>
  <c r="A2810" i="1"/>
  <c r="A2811" i="1"/>
  <c r="A2812" i="1"/>
  <c r="A2813" i="1"/>
  <c r="A2814" i="1"/>
  <c r="A2815" i="1"/>
  <c r="A2816" i="1"/>
  <c r="A2817" i="1"/>
  <c r="A2818" i="1"/>
  <c r="A2819" i="1"/>
  <c r="A2820" i="1"/>
  <c r="A2821" i="1"/>
  <c r="A2822" i="1"/>
  <c r="A2823" i="1"/>
  <c r="A2824" i="1"/>
  <c r="A2825" i="1"/>
  <c r="A2826" i="1"/>
  <c r="A2827" i="1"/>
  <c r="A2828" i="1"/>
  <c r="A2829" i="1"/>
  <c r="A2830" i="1"/>
  <c r="A2831" i="1"/>
  <c r="A2832" i="1"/>
  <c r="A2833" i="1"/>
  <c r="A2834" i="1"/>
  <c r="A2835" i="1"/>
  <c r="A2836" i="1"/>
  <c r="A2837" i="1"/>
  <c r="A2838" i="1"/>
  <c r="A2839" i="1"/>
  <c r="A2840" i="1"/>
  <c r="A2841" i="1"/>
  <c r="A2842" i="1"/>
  <c r="A2843" i="1"/>
  <c r="A2844" i="1"/>
  <c r="A2845" i="1"/>
  <c r="A2846" i="1"/>
  <c r="A2847" i="1"/>
  <c r="A2848" i="1"/>
  <c r="A2849" i="1"/>
  <c r="A2850" i="1"/>
  <c r="A2851" i="1"/>
  <c r="A2852" i="1"/>
  <c r="A2853" i="1"/>
  <c r="A2854" i="1"/>
  <c r="A2855" i="1"/>
  <c r="A2856" i="1"/>
  <c r="A2857" i="1"/>
  <c r="A2858" i="1"/>
  <c r="A2859" i="1"/>
  <c r="A2860" i="1"/>
  <c r="A2861" i="1"/>
  <c r="A2862" i="1"/>
  <c r="A2863" i="1"/>
  <c r="A2864" i="1"/>
  <c r="A2865" i="1"/>
  <c r="A2866" i="1"/>
  <c r="A2867" i="1"/>
  <c r="A2868" i="1"/>
  <c r="A2869" i="1"/>
  <c r="A2870" i="1"/>
  <c r="A2871" i="1"/>
  <c r="A2872" i="1"/>
  <c r="A2873" i="1"/>
  <c r="A2874" i="1"/>
  <c r="A2875" i="1"/>
  <c r="A2876" i="1"/>
  <c r="A2877" i="1"/>
  <c r="A2878" i="1"/>
  <c r="A2879" i="1"/>
  <c r="A2880" i="1"/>
  <c r="A2881" i="1"/>
  <c r="A2882" i="1"/>
  <c r="A2883" i="1"/>
  <c r="A2884" i="1"/>
  <c r="A2885" i="1"/>
  <c r="A2886" i="1"/>
  <c r="A2887" i="1"/>
  <c r="A2888" i="1"/>
  <c r="A2889" i="1"/>
  <c r="A2890" i="1"/>
  <c r="A2891" i="1"/>
  <c r="A2892" i="1"/>
  <c r="A2893" i="1"/>
  <c r="A2894" i="1"/>
  <c r="A2895" i="1"/>
  <c r="A2896" i="1"/>
  <c r="A2897" i="1"/>
  <c r="A2898" i="1"/>
  <c r="A2899" i="1"/>
  <c r="A2900" i="1"/>
  <c r="A2901" i="1"/>
  <c r="A2902" i="1"/>
  <c r="A2903" i="1"/>
  <c r="A2904" i="1"/>
  <c r="A2905" i="1"/>
  <c r="A2906" i="1"/>
  <c r="A2907" i="1"/>
  <c r="A2908" i="1"/>
  <c r="A2909" i="1"/>
  <c r="A2910" i="1"/>
  <c r="A2911" i="1"/>
  <c r="A2912" i="1"/>
  <c r="A2913" i="1"/>
  <c r="A2914" i="1"/>
  <c r="A2915" i="1"/>
  <c r="A2916" i="1"/>
  <c r="A2917" i="1"/>
  <c r="A2918" i="1"/>
  <c r="A2919" i="1"/>
  <c r="A2920" i="1"/>
  <c r="A2921" i="1"/>
  <c r="A2922" i="1"/>
  <c r="A2923" i="1"/>
  <c r="A2924" i="1"/>
  <c r="A2925" i="1"/>
  <c r="A2926" i="1"/>
  <c r="A2927" i="1"/>
  <c r="A2928" i="1"/>
  <c r="A2929" i="1"/>
  <c r="A2930" i="1"/>
  <c r="A2931" i="1"/>
  <c r="A2932" i="1"/>
  <c r="A2933" i="1"/>
  <c r="A2934" i="1"/>
  <c r="A2935" i="1"/>
  <c r="A2936" i="1"/>
  <c r="A2937" i="1"/>
  <c r="A2938" i="1"/>
  <c r="A2939" i="1"/>
  <c r="A2940" i="1"/>
  <c r="A2941" i="1"/>
  <c r="A2942" i="1"/>
  <c r="A2943" i="1"/>
  <c r="A2944" i="1"/>
  <c r="A2945" i="1"/>
  <c r="A2946" i="1"/>
  <c r="A2947" i="1"/>
  <c r="A2948" i="1"/>
  <c r="A2949" i="1"/>
  <c r="A2950" i="1"/>
  <c r="A2951" i="1"/>
  <c r="A2952" i="1"/>
  <c r="A2953" i="1"/>
  <c r="A2954" i="1"/>
  <c r="A2955" i="1"/>
  <c r="A2956" i="1"/>
  <c r="A2957" i="1"/>
  <c r="A2958" i="1"/>
  <c r="A2959" i="1"/>
  <c r="A2960" i="1"/>
  <c r="A2961" i="1"/>
  <c r="A2962" i="1"/>
  <c r="A2963" i="1"/>
  <c r="A2964" i="1"/>
  <c r="A2965" i="1"/>
  <c r="A2966" i="1"/>
  <c r="A2967" i="1"/>
  <c r="A2968" i="1"/>
  <c r="A2969" i="1"/>
  <c r="A2970" i="1"/>
  <c r="A2971" i="1"/>
  <c r="A2972" i="1"/>
  <c r="A2973" i="1"/>
  <c r="A2974" i="1"/>
  <c r="A2975" i="1"/>
  <c r="A2976" i="1"/>
  <c r="A2977" i="1"/>
  <c r="A2978" i="1"/>
  <c r="A2979" i="1"/>
  <c r="A2980" i="1"/>
  <c r="A2981" i="1"/>
  <c r="A2982" i="1"/>
  <c r="A2983" i="1"/>
  <c r="A2984" i="1"/>
  <c r="A2985" i="1"/>
  <c r="A2986" i="1"/>
  <c r="A2987" i="1"/>
  <c r="A2988" i="1"/>
  <c r="A2989" i="1"/>
  <c r="A2990" i="1"/>
  <c r="A2991" i="1"/>
  <c r="A2992" i="1"/>
  <c r="A2993" i="1"/>
  <c r="A2994" i="1"/>
  <c r="K4" i="13" l="1"/>
  <c r="K5" i="13"/>
  <c r="K6" i="13"/>
  <c r="K7" i="13"/>
  <c r="K8" i="13"/>
  <c r="K9" i="13"/>
  <c r="K10" i="13"/>
  <c r="K11" i="13"/>
  <c r="K12" i="13"/>
  <c r="K13" i="13"/>
  <c r="K14" i="13"/>
  <c r="K15" i="13"/>
  <c r="K16" i="13"/>
  <c r="K17" i="13"/>
  <c r="K18" i="13"/>
  <c r="K19" i="13"/>
  <c r="K20" i="13"/>
  <c r="A38" i="10"/>
  <c r="A5" i="9" l="1"/>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A16" i="10" l="1"/>
  <c r="A27" i="10"/>
  <c r="D14" i="9"/>
  <c r="E14" i="9"/>
  <c r="F14" i="9"/>
  <c r="G14" i="9"/>
  <c r="H14" i="9" s="1"/>
  <c r="I14" i="9" s="1"/>
  <c r="O14" i="9"/>
  <c r="P14" i="9" s="1"/>
  <c r="Q14" i="9" s="1"/>
  <c r="R14" i="9" s="1"/>
  <c r="D33" i="9"/>
  <c r="E33" i="9"/>
  <c r="F33" i="9"/>
  <c r="G33" i="9"/>
  <c r="H33" i="9" s="1"/>
  <c r="I33" i="9" s="1"/>
  <c r="O33" i="9"/>
  <c r="P33" i="9" s="1"/>
  <c r="Q33" i="9" s="1"/>
  <c r="R33" i="9" s="1"/>
  <c r="D38" i="9"/>
  <c r="E38" i="9"/>
  <c r="F38" i="9"/>
  <c r="G38" i="9"/>
  <c r="H38" i="9" s="1"/>
  <c r="I38" i="9" s="1"/>
  <c r="O38" i="9"/>
  <c r="P38" i="9" s="1"/>
  <c r="Q38" i="9" s="1"/>
  <c r="R38" i="9" s="1"/>
  <c r="D39" i="9"/>
  <c r="E39" i="9"/>
  <c r="F39" i="9"/>
  <c r="G39" i="9"/>
  <c r="H39" i="9" s="1"/>
  <c r="I39" i="9" s="1"/>
  <c r="O39" i="9"/>
  <c r="P39" i="9" s="1"/>
  <c r="Q39" i="9" s="1"/>
  <c r="R39" i="9" s="1"/>
  <c r="D41" i="9"/>
  <c r="E41" i="9"/>
  <c r="F41" i="9"/>
  <c r="G41" i="9"/>
  <c r="H41" i="9" s="1"/>
  <c r="I41" i="9" s="1"/>
  <c r="O41" i="9"/>
  <c r="P41" i="9" s="1"/>
  <c r="Q41" i="9" s="1"/>
  <c r="R41" i="9" s="1"/>
  <c r="D42" i="9"/>
  <c r="E42" i="9"/>
  <c r="F42" i="9"/>
  <c r="G42" i="9"/>
  <c r="H42" i="9" s="1"/>
  <c r="I42" i="9" s="1"/>
  <c r="O42" i="9"/>
  <c r="P42" i="9" s="1"/>
  <c r="Q42" i="9" s="1"/>
  <c r="R42" i="9" s="1"/>
  <c r="D25" i="1"/>
  <c r="E25" i="1"/>
  <c r="F25" i="1"/>
  <c r="G25" i="1"/>
  <c r="I25" i="1"/>
  <c r="D32" i="1"/>
  <c r="E32" i="1"/>
  <c r="F32" i="1"/>
  <c r="G32" i="1"/>
  <c r="I32" i="1"/>
  <c r="D33" i="1"/>
  <c r="E33" i="1"/>
  <c r="F33" i="1"/>
  <c r="G33" i="1"/>
  <c r="I33" i="1"/>
  <c r="D34" i="1"/>
  <c r="E34" i="1"/>
  <c r="F34" i="1"/>
  <c r="G34" i="1"/>
  <c r="I34" i="1"/>
  <c r="D35" i="1"/>
  <c r="E35" i="1"/>
  <c r="F35" i="1"/>
  <c r="G35" i="1"/>
  <c r="I35" i="1"/>
  <c r="D36" i="1"/>
  <c r="E36" i="1"/>
  <c r="F36" i="1"/>
  <c r="G36" i="1"/>
  <c r="I36" i="1"/>
  <c r="D41" i="1"/>
  <c r="E41" i="1"/>
  <c r="F41" i="1"/>
  <c r="G41" i="1"/>
  <c r="I41" i="1"/>
  <c r="D46" i="1"/>
  <c r="E46" i="1"/>
  <c r="F46" i="1"/>
  <c r="G46" i="1"/>
  <c r="I46" i="1"/>
  <c r="D47" i="1"/>
  <c r="E47" i="1"/>
  <c r="F47" i="1"/>
  <c r="G47" i="1"/>
  <c r="I47" i="1"/>
  <c r="D48" i="1"/>
  <c r="E48" i="1"/>
  <c r="F48" i="1"/>
  <c r="G48" i="1"/>
  <c r="I48" i="1"/>
  <c r="D54" i="1"/>
  <c r="E54" i="1"/>
  <c r="F54" i="1"/>
  <c r="G54" i="1"/>
  <c r="I54" i="1"/>
  <c r="D58" i="1"/>
  <c r="E58" i="1"/>
  <c r="F58" i="1"/>
  <c r="G58" i="1"/>
  <c r="I58" i="1"/>
  <c r="D60" i="1"/>
  <c r="E60" i="1"/>
  <c r="F60" i="1"/>
  <c r="G60" i="1"/>
  <c r="I60" i="1"/>
  <c r="D63" i="1"/>
  <c r="E63" i="1"/>
  <c r="F63" i="1"/>
  <c r="G63" i="1"/>
  <c r="I63" i="1"/>
  <c r="D69" i="1"/>
  <c r="E69" i="1"/>
  <c r="F69" i="1"/>
  <c r="G69" i="1"/>
  <c r="I69" i="1"/>
  <c r="D71" i="1"/>
  <c r="E71" i="1"/>
  <c r="F71" i="1"/>
  <c r="G71" i="1"/>
  <c r="I71" i="1"/>
  <c r="D72" i="1"/>
  <c r="E72" i="1"/>
  <c r="F72" i="1"/>
  <c r="G72" i="1"/>
  <c r="I72" i="1"/>
  <c r="D73" i="1"/>
  <c r="E73" i="1"/>
  <c r="F73" i="1"/>
  <c r="G73" i="1"/>
  <c r="I73" i="1"/>
  <c r="D74" i="1"/>
  <c r="E74" i="1"/>
  <c r="F74" i="1"/>
  <c r="G74" i="1"/>
  <c r="I74" i="1"/>
  <c r="D77" i="1"/>
  <c r="E77" i="1"/>
  <c r="F77" i="1"/>
  <c r="G77" i="1"/>
  <c r="I77" i="1"/>
  <c r="D78" i="1"/>
  <c r="E78" i="1"/>
  <c r="F78" i="1"/>
  <c r="G78" i="1"/>
  <c r="I78" i="1"/>
  <c r="D79" i="1"/>
  <c r="E79" i="1"/>
  <c r="F79" i="1"/>
  <c r="G79" i="1"/>
  <c r="I79" i="1"/>
  <c r="D80" i="1"/>
  <c r="E80" i="1"/>
  <c r="F80" i="1"/>
  <c r="G80" i="1"/>
  <c r="I80" i="1"/>
  <c r="D83" i="1"/>
  <c r="E83" i="1"/>
  <c r="F83" i="1"/>
  <c r="G83" i="1"/>
  <c r="I83" i="1"/>
  <c r="D85" i="1"/>
  <c r="E85" i="1"/>
  <c r="F85" i="1"/>
  <c r="G85" i="1"/>
  <c r="I85" i="1"/>
  <c r="D86" i="1"/>
  <c r="E86" i="1"/>
  <c r="F86" i="1"/>
  <c r="G86" i="1"/>
  <c r="I86" i="1"/>
  <c r="D88" i="1"/>
  <c r="E88" i="1"/>
  <c r="F88" i="1"/>
  <c r="G88" i="1"/>
  <c r="I88" i="1"/>
  <c r="D90" i="1"/>
  <c r="E90" i="1"/>
  <c r="F90" i="1"/>
  <c r="G90" i="1"/>
  <c r="I90" i="1"/>
  <c r="D91" i="1"/>
  <c r="E91" i="1"/>
  <c r="F91" i="1"/>
  <c r="G91" i="1"/>
  <c r="I91" i="1"/>
  <c r="D92" i="1"/>
  <c r="E92" i="1"/>
  <c r="F92" i="1"/>
  <c r="G92" i="1"/>
  <c r="I92" i="1"/>
  <c r="D94" i="1"/>
  <c r="E94" i="1"/>
  <c r="F94" i="1"/>
  <c r="G94" i="1"/>
  <c r="I94" i="1"/>
  <c r="D96" i="1"/>
  <c r="E96" i="1"/>
  <c r="F96" i="1"/>
  <c r="G96" i="1"/>
  <c r="I96" i="1"/>
  <c r="D97" i="1"/>
  <c r="E97" i="1"/>
  <c r="F97" i="1"/>
  <c r="G97" i="1"/>
  <c r="I97" i="1"/>
  <c r="D100" i="1"/>
  <c r="E100" i="1"/>
  <c r="F100" i="1"/>
  <c r="G100" i="1"/>
  <c r="I100" i="1"/>
  <c r="D101" i="1"/>
  <c r="E101" i="1"/>
  <c r="F101" i="1"/>
  <c r="G101" i="1"/>
  <c r="I101" i="1"/>
  <c r="D104" i="1"/>
  <c r="E104" i="1"/>
  <c r="F104" i="1"/>
  <c r="G104" i="1"/>
  <c r="I104" i="1"/>
  <c r="D105" i="1"/>
  <c r="E105" i="1"/>
  <c r="F105" i="1"/>
  <c r="G105" i="1"/>
  <c r="I105" i="1"/>
  <c r="D108" i="1"/>
  <c r="E108" i="1"/>
  <c r="F108" i="1"/>
  <c r="G108" i="1"/>
  <c r="I108" i="1"/>
  <c r="D109" i="1"/>
  <c r="E109" i="1"/>
  <c r="F109" i="1"/>
  <c r="G109" i="1"/>
  <c r="I109" i="1"/>
  <c r="D111" i="1"/>
  <c r="E111" i="1"/>
  <c r="F111" i="1"/>
  <c r="G111" i="1"/>
  <c r="I111" i="1"/>
  <c r="D113" i="1"/>
  <c r="E113" i="1"/>
  <c r="F113" i="1"/>
  <c r="G113" i="1"/>
  <c r="I113" i="1"/>
  <c r="D115" i="1"/>
  <c r="E115" i="1"/>
  <c r="F115" i="1"/>
  <c r="G115" i="1"/>
  <c r="I115" i="1"/>
  <c r="D116" i="1"/>
  <c r="E116" i="1"/>
  <c r="F116" i="1"/>
  <c r="G116" i="1"/>
  <c r="I116" i="1"/>
  <c r="D117" i="1"/>
  <c r="E117" i="1"/>
  <c r="F117" i="1"/>
  <c r="G117" i="1"/>
  <c r="I117" i="1"/>
  <c r="D120" i="1"/>
  <c r="E120" i="1"/>
  <c r="F120" i="1"/>
  <c r="G120" i="1"/>
  <c r="I120" i="1"/>
  <c r="D122" i="1"/>
  <c r="E122" i="1"/>
  <c r="F122" i="1"/>
  <c r="G122" i="1"/>
  <c r="I122" i="1"/>
  <c r="D125" i="1"/>
  <c r="E125" i="1"/>
  <c r="F125" i="1"/>
  <c r="G125" i="1"/>
  <c r="I125" i="1"/>
  <c r="D127" i="1"/>
  <c r="E127" i="1"/>
  <c r="F127" i="1"/>
  <c r="G127" i="1"/>
  <c r="I127" i="1"/>
  <c r="D128" i="1"/>
  <c r="E128" i="1"/>
  <c r="F128" i="1"/>
  <c r="G128" i="1"/>
  <c r="I128" i="1"/>
  <c r="D129" i="1"/>
  <c r="E129" i="1"/>
  <c r="F129" i="1"/>
  <c r="G129" i="1"/>
  <c r="I129" i="1"/>
  <c r="D130" i="1"/>
  <c r="E130" i="1"/>
  <c r="F130" i="1"/>
  <c r="G130" i="1"/>
  <c r="I130" i="1"/>
  <c r="D131" i="1"/>
  <c r="E131" i="1"/>
  <c r="F131" i="1"/>
  <c r="G131" i="1"/>
  <c r="I131" i="1"/>
  <c r="D132" i="1"/>
  <c r="E132" i="1"/>
  <c r="F132" i="1"/>
  <c r="G132" i="1"/>
  <c r="I132" i="1"/>
  <c r="D133" i="1"/>
  <c r="E133" i="1"/>
  <c r="F133" i="1"/>
  <c r="G133" i="1"/>
  <c r="I133" i="1"/>
  <c r="D134" i="1"/>
  <c r="E134" i="1"/>
  <c r="F134" i="1"/>
  <c r="G134" i="1"/>
  <c r="I134" i="1"/>
  <c r="D135" i="1"/>
  <c r="E135" i="1"/>
  <c r="F135" i="1"/>
  <c r="G135" i="1"/>
  <c r="I135" i="1"/>
  <c r="D137" i="1"/>
  <c r="E137" i="1"/>
  <c r="F137" i="1"/>
  <c r="G137" i="1"/>
  <c r="I137" i="1"/>
  <c r="D138" i="1"/>
  <c r="E138" i="1"/>
  <c r="F138" i="1"/>
  <c r="G138" i="1"/>
  <c r="I138" i="1"/>
  <c r="D139" i="1"/>
  <c r="E139" i="1"/>
  <c r="F139" i="1"/>
  <c r="G139" i="1"/>
  <c r="I139" i="1"/>
  <c r="D140" i="1"/>
  <c r="E140" i="1"/>
  <c r="F140" i="1"/>
  <c r="G140" i="1"/>
  <c r="I140" i="1"/>
  <c r="D142" i="1"/>
  <c r="E142" i="1"/>
  <c r="F142" i="1"/>
  <c r="G142" i="1"/>
  <c r="I142" i="1"/>
  <c r="D145" i="1"/>
  <c r="E145" i="1"/>
  <c r="F145" i="1"/>
  <c r="G145" i="1"/>
  <c r="I145" i="1"/>
  <c r="D146" i="1"/>
  <c r="E146" i="1"/>
  <c r="F146" i="1"/>
  <c r="G146" i="1"/>
  <c r="I146" i="1"/>
  <c r="D147" i="1"/>
  <c r="E147" i="1"/>
  <c r="F147" i="1"/>
  <c r="G147" i="1"/>
  <c r="I147" i="1"/>
  <c r="D148" i="1"/>
  <c r="E148" i="1"/>
  <c r="F148" i="1"/>
  <c r="G148" i="1"/>
  <c r="I148" i="1"/>
  <c r="D149" i="1"/>
  <c r="E149" i="1"/>
  <c r="F149" i="1"/>
  <c r="G149" i="1"/>
  <c r="I149" i="1"/>
  <c r="D150" i="1"/>
  <c r="E150" i="1"/>
  <c r="F150" i="1"/>
  <c r="G150" i="1"/>
  <c r="I150" i="1"/>
  <c r="D151" i="1"/>
  <c r="E151" i="1"/>
  <c r="F151" i="1"/>
  <c r="G151" i="1"/>
  <c r="I151" i="1"/>
  <c r="D152" i="1"/>
  <c r="E152" i="1"/>
  <c r="F152" i="1"/>
  <c r="G152" i="1"/>
  <c r="I152" i="1"/>
  <c r="D154" i="1"/>
  <c r="E154" i="1"/>
  <c r="F154" i="1"/>
  <c r="G154" i="1"/>
  <c r="I154" i="1"/>
  <c r="D156" i="1"/>
  <c r="E156" i="1"/>
  <c r="F156" i="1"/>
  <c r="G156" i="1"/>
  <c r="I156" i="1"/>
  <c r="D158" i="1"/>
  <c r="E158" i="1"/>
  <c r="F158" i="1"/>
  <c r="G158" i="1"/>
  <c r="I158" i="1"/>
  <c r="D159" i="1"/>
  <c r="E159" i="1"/>
  <c r="F159" i="1"/>
  <c r="G159" i="1"/>
  <c r="I159" i="1"/>
  <c r="D160" i="1"/>
  <c r="E160" i="1"/>
  <c r="F160" i="1"/>
  <c r="G160" i="1"/>
  <c r="I160" i="1"/>
  <c r="D161" i="1"/>
  <c r="E161" i="1"/>
  <c r="F161" i="1"/>
  <c r="G161" i="1"/>
  <c r="I161" i="1"/>
  <c r="D162" i="1"/>
  <c r="E162" i="1"/>
  <c r="F162" i="1"/>
  <c r="G162" i="1"/>
  <c r="I162" i="1"/>
  <c r="D163" i="1"/>
  <c r="E163" i="1"/>
  <c r="F163" i="1"/>
  <c r="G163" i="1"/>
  <c r="I163" i="1"/>
  <c r="D164" i="1"/>
  <c r="E164" i="1"/>
  <c r="F164" i="1"/>
  <c r="G164" i="1"/>
  <c r="I164" i="1"/>
  <c r="D165" i="1"/>
  <c r="E165" i="1"/>
  <c r="F165" i="1"/>
  <c r="G165" i="1"/>
  <c r="I165" i="1"/>
  <c r="D166" i="1"/>
  <c r="E166" i="1"/>
  <c r="F166" i="1"/>
  <c r="G166" i="1"/>
  <c r="I166" i="1"/>
  <c r="D167" i="1"/>
  <c r="E167" i="1"/>
  <c r="F167" i="1"/>
  <c r="G167" i="1"/>
  <c r="I167" i="1"/>
  <c r="D168" i="1"/>
  <c r="E168" i="1"/>
  <c r="F168" i="1"/>
  <c r="G168" i="1"/>
  <c r="I168" i="1"/>
  <c r="D171" i="1"/>
  <c r="E171" i="1"/>
  <c r="F171" i="1"/>
  <c r="G171" i="1"/>
  <c r="I171" i="1"/>
  <c r="D173" i="1"/>
  <c r="E173" i="1"/>
  <c r="F173" i="1"/>
  <c r="G173" i="1"/>
  <c r="I173" i="1"/>
  <c r="D174" i="1"/>
  <c r="E174" i="1"/>
  <c r="F174" i="1"/>
  <c r="G174" i="1"/>
  <c r="I174" i="1"/>
  <c r="D175" i="1"/>
  <c r="E175" i="1"/>
  <c r="F175" i="1"/>
  <c r="G175" i="1"/>
  <c r="I175" i="1"/>
  <c r="D176" i="1"/>
  <c r="E176" i="1"/>
  <c r="F176" i="1"/>
  <c r="G176" i="1"/>
  <c r="I176" i="1"/>
  <c r="D177" i="1"/>
  <c r="E177" i="1"/>
  <c r="F177" i="1"/>
  <c r="G177" i="1"/>
  <c r="I177" i="1"/>
  <c r="D179" i="1"/>
  <c r="E179" i="1"/>
  <c r="F179" i="1"/>
  <c r="G179" i="1"/>
  <c r="I179" i="1"/>
  <c r="D180" i="1"/>
  <c r="E180" i="1"/>
  <c r="F180" i="1"/>
  <c r="G180" i="1"/>
  <c r="I180" i="1"/>
  <c r="D182" i="1"/>
  <c r="E182" i="1"/>
  <c r="F182" i="1"/>
  <c r="G182" i="1"/>
  <c r="I182" i="1"/>
  <c r="D183" i="1"/>
  <c r="E183" i="1"/>
  <c r="F183" i="1"/>
  <c r="G183" i="1"/>
  <c r="I183" i="1"/>
  <c r="D184" i="1"/>
  <c r="E184" i="1"/>
  <c r="F184" i="1"/>
  <c r="G184" i="1"/>
  <c r="I184" i="1"/>
  <c r="D185" i="1"/>
  <c r="E185" i="1"/>
  <c r="F185" i="1"/>
  <c r="G185" i="1"/>
  <c r="I185" i="1"/>
  <c r="D187" i="1"/>
  <c r="E187" i="1"/>
  <c r="F187" i="1"/>
  <c r="G187" i="1"/>
  <c r="I187" i="1"/>
  <c r="D191" i="1"/>
  <c r="E191" i="1"/>
  <c r="F191" i="1"/>
  <c r="G191" i="1"/>
  <c r="I191" i="1"/>
  <c r="D192" i="1"/>
  <c r="E192" i="1"/>
  <c r="F192" i="1"/>
  <c r="G192" i="1"/>
  <c r="I192" i="1"/>
  <c r="D193" i="1"/>
  <c r="E193" i="1"/>
  <c r="F193" i="1"/>
  <c r="G193" i="1"/>
  <c r="I193" i="1"/>
  <c r="D194" i="1"/>
  <c r="E194" i="1"/>
  <c r="F194" i="1"/>
  <c r="G194" i="1"/>
  <c r="I194" i="1"/>
  <c r="D195" i="1"/>
  <c r="E195" i="1"/>
  <c r="F195" i="1"/>
  <c r="G195" i="1"/>
  <c r="I195" i="1"/>
  <c r="D196" i="1"/>
  <c r="E196" i="1"/>
  <c r="F196" i="1"/>
  <c r="G196" i="1"/>
  <c r="I196" i="1"/>
  <c r="D197" i="1"/>
  <c r="E197" i="1"/>
  <c r="F197" i="1"/>
  <c r="G197" i="1"/>
  <c r="I197" i="1"/>
  <c r="D198" i="1"/>
  <c r="E198" i="1"/>
  <c r="F198" i="1"/>
  <c r="G198" i="1"/>
  <c r="I198" i="1"/>
  <c r="D199" i="1"/>
  <c r="E199" i="1"/>
  <c r="F199" i="1"/>
  <c r="G199" i="1"/>
  <c r="I199" i="1"/>
  <c r="D5" i="9" l="1"/>
  <c r="D6" i="9"/>
  <c r="D7" i="9"/>
  <c r="D8" i="9"/>
  <c r="D9" i="9"/>
  <c r="D10" i="9"/>
  <c r="D11" i="9"/>
  <c r="D12" i="9"/>
  <c r="D13" i="9"/>
  <c r="D15" i="9"/>
  <c r="D16" i="9"/>
  <c r="D17" i="9"/>
  <c r="D18" i="9"/>
  <c r="D19" i="9"/>
  <c r="D20" i="9"/>
  <c r="D21" i="9"/>
  <c r="D22" i="9"/>
  <c r="D23" i="9"/>
  <c r="D24" i="9"/>
  <c r="D25" i="9"/>
  <c r="D26" i="9"/>
  <c r="D27" i="9"/>
  <c r="D28" i="9"/>
  <c r="D29" i="9"/>
  <c r="D30" i="9"/>
  <c r="D31" i="9"/>
  <c r="D32" i="9"/>
  <c r="D34" i="9"/>
  <c r="D35" i="9"/>
  <c r="D36" i="9"/>
  <c r="D37" i="9"/>
  <c r="D40" i="9"/>
  <c r="E5" i="9"/>
  <c r="E6" i="9"/>
  <c r="E7" i="9"/>
  <c r="E8" i="9"/>
  <c r="E9" i="9"/>
  <c r="E10" i="9"/>
  <c r="E11" i="9"/>
  <c r="E12" i="9"/>
  <c r="E13" i="9"/>
  <c r="E15" i="9"/>
  <c r="E16" i="9"/>
  <c r="E17" i="9"/>
  <c r="E18" i="9"/>
  <c r="E19" i="9"/>
  <c r="E20" i="9"/>
  <c r="E21" i="9"/>
  <c r="E22" i="9"/>
  <c r="E23" i="9"/>
  <c r="E24" i="9"/>
  <c r="E25" i="9"/>
  <c r="E26" i="9"/>
  <c r="E27" i="9"/>
  <c r="E28" i="9"/>
  <c r="E29" i="9"/>
  <c r="E30" i="9"/>
  <c r="E31" i="9"/>
  <c r="E32" i="9"/>
  <c r="E34" i="9"/>
  <c r="E35" i="9"/>
  <c r="E36" i="9"/>
  <c r="E37" i="9"/>
  <c r="E40" i="9"/>
  <c r="F5" i="9"/>
  <c r="F6" i="9"/>
  <c r="F7" i="9"/>
  <c r="F8" i="9"/>
  <c r="F9" i="9"/>
  <c r="F10" i="9"/>
  <c r="F11" i="9"/>
  <c r="F12" i="9"/>
  <c r="F13" i="9"/>
  <c r="F15" i="9"/>
  <c r="F16" i="9"/>
  <c r="F17" i="9"/>
  <c r="F18" i="9"/>
  <c r="F19" i="9"/>
  <c r="F20" i="9"/>
  <c r="F21" i="9"/>
  <c r="F22" i="9"/>
  <c r="F23" i="9"/>
  <c r="F24" i="9"/>
  <c r="F25" i="9"/>
  <c r="F26" i="9"/>
  <c r="F27" i="9"/>
  <c r="F28" i="9"/>
  <c r="F29" i="9"/>
  <c r="F30" i="9"/>
  <c r="F31" i="9"/>
  <c r="F32" i="9"/>
  <c r="F34" i="9"/>
  <c r="F35" i="9"/>
  <c r="F36" i="9"/>
  <c r="F37" i="9"/>
  <c r="F40" i="9"/>
  <c r="G5" i="9"/>
  <c r="H5" i="9" s="1"/>
  <c r="I5" i="9" s="1"/>
  <c r="G6" i="9"/>
  <c r="H6" i="9" s="1"/>
  <c r="I6" i="9" s="1"/>
  <c r="G7" i="9"/>
  <c r="H7" i="9" s="1"/>
  <c r="I7" i="9" s="1"/>
  <c r="G8" i="9"/>
  <c r="H8" i="9" s="1"/>
  <c r="I8" i="9" s="1"/>
  <c r="G9" i="9"/>
  <c r="H9" i="9" s="1"/>
  <c r="I9" i="9" s="1"/>
  <c r="G10" i="9"/>
  <c r="H10" i="9" s="1"/>
  <c r="I10" i="9" s="1"/>
  <c r="G11" i="9"/>
  <c r="H11" i="9" s="1"/>
  <c r="I11" i="9" s="1"/>
  <c r="G12" i="9"/>
  <c r="H12" i="9" s="1"/>
  <c r="I12" i="9" s="1"/>
  <c r="G13" i="9"/>
  <c r="H13" i="9" s="1"/>
  <c r="I13" i="9" s="1"/>
  <c r="G15" i="9"/>
  <c r="H15" i="9" s="1"/>
  <c r="I15" i="9" s="1"/>
  <c r="G16" i="9"/>
  <c r="H16" i="9" s="1"/>
  <c r="I16" i="9" s="1"/>
  <c r="G17" i="9"/>
  <c r="H17" i="9" s="1"/>
  <c r="I17" i="9" s="1"/>
  <c r="G18" i="9"/>
  <c r="H18" i="9" s="1"/>
  <c r="I18" i="9" s="1"/>
  <c r="G19" i="9"/>
  <c r="H19" i="9" s="1"/>
  <c r="I19" i="9" s="1"/>
  <c r="G20" i="9"/>
  <c r="H20" i="9" s="1"/>
  <c r="I20" i="9" s="1"/>
  <c r="G21" i="9"/>
  <c r="H21" i="9" s="1"/>
  <c r="I21" i="9" s="1"/>
  <c r="G22" i="9"/>
  <c r="H22" i="9" s="1"/>
  <c r="I22" i="9" s="1"/>
  <c r="G23" i="9"/>
  <c r="H23" i="9" s="1"/>
  <c r="I23" i="9" s="1"/>
  <c r="G24" i="9"/>
  <c r="H24" i="9" s="1"/>
  <c r="I24" i="9" s="1"/>
  <c r="G25" i="9"/>
  <c r="H25" i="9" s="1"/>
  <c r="I25" i="9" s="1"/>
  <c r="G26" i="9"/>
  <c r="H26" i="9" s="1"/>
  <c r="I26" i="9" s="1"/>
  <c r="G27" i="9"/>
  <c r="H27" i="9" s="1"/>
  <c r="I27" i="9" s="1"/>
  <c r="G28" i="9"/>
  <c r="H28" i="9" s="1"/>
  <c r="I28" i="9" s="1"/>
  <c r="G29" i="9"/>
  <c r="H29" i="9" s="1"/>
  <c r="I29" i="9" s="1"/>
  <c r="G30" i="9"/>
  <c r="H30" i="9" s="1"/>
  <c r="I30" i="9" s="1"/>
  <c r="G31" i="9"/>
  <c r="H31" i="9" s="1"/>
  <c r="I31" i="9" s="1"/>
  <c r="G32" i="9"/>
  <c r="H32" i="9" s="1"/>
  <c r="I32" i="9" s="1"/>
  <c r="G34" i="9"/>
  <c r="H34" i="9" s="1"/>
  <c r="I34" i="9" s="1"/>
  <c r="G35" i="9"/>
  <c r="H35" i="9" s="1"/>
  <c r="I35" i="9" s="1"/>
  <c r="G36" i="9"/>
  <c r="H36" i="9" s="1"/>
  <c r="I36" i="9" s="1"/>
  <c r="G37" i="9"/>
  <c r="H37" i="9" s="1"/>
  <c r="I37" i="9" s="1"/>
  <c r="G40" i="9"/>
  <c r="H40" i="9" s="1"/>
  <c r="I40" i="9" s="1"/>
  <c r="O5" i="9"/>
  <c r="P5" i="9" s="1"/>
  <c r="Q5" i="9" s="1"/>
  <c r="R5" i="9" s="1"/>
  <c r="O6" i="9"/>
  <c r="P6" i="9" s="1"/>
  <c r="Q6" i="9" s="1"/>
  <c r="R6" i="9" s="1"/>
  <c r="O7" i="9"/>
  <c r="P7" i="9" s="1"/>
  <c r="Q7" i="9" s="1"/>
  <c r="R7" i="9" s="1"/>
  <c r="O8" i="9"/>
  <c r="P8" i="9" s="1"/>
  <c r="Q8" i="9" s="1"/>
  <c r="R8" i="9" s="1"/>
  <c r="O9" i="9"/>
  <c r="P9" i="9" s="1"/>
  <c r="Q9" i="9" s="1"/>
  <c r="R9" i="9" s="1"/>
  <c r="O10" i="9"/>
  <c r="P10" i="9" s="1"/>
  <c r="Q10" i="9" s="1"/>
  <c r="R10" i="9" s="1"/>
  <c r="O11" i="9"/>
  <c r="P11" i="9" s="1"/>
  <c r="Q11" i="9" s="1"/>
  <c r="R11" i="9" s="1"/>
  <c r="O12" i="9"/>
  <c r="P12" i="9" s="1"/>
  <c r="Q12" i="9" s="1"/>
  <c r="R12" i="9" s="1"/>
  <c r="O13" i="9"/>
  <c r="P13" i="9" s="1"/>
  <c r="Q13" i="9" s="1"/>
  <c r="R13" i="9" s="1"/>
  <c r="O15" i="9"/>
  <c r="P15" i="9" s="1"/>
  <c r="Q15" i="9" s="1"/>
  <c r="R15" i="9" s="1"/>
  <c r="O16" i="9"/>
  <c r="P16" i="9" s="1"/>
  <c r="Q16" i="9" s="1"/>
  <c r="R16" i="9" s="1"/>
  <c r="O17" i="9"/>
  <c r="P17" i="9" s="1"/>
  <c r="Q17" i="9" s="1"/>
  <c r="R17" i="9" s="1"/>
  <c r="O18" i="9"/>
  <c r="P18" i="9" s="1"/>
  <c r="Q18" i="9" s="1"/>
  <c r="R18" i="9" s="1"/>
  <c r="O19" i="9"/>
  <c r="P19" i="9" s="1"/>
  <c r="Q19" i="9" s="1"/>
  <c r="R19" i="9" s="1"/>
  <c r="O20" i="9"/>
  <c r="P20" i="9" s="1"/>
  <c r="Q20" i="9" s="1"/>
  <c r="R20" i="9" s="1"/>
  <c r="O21" i="9"/>
  <c r="P21" i="9" s="1"/>
  <c r="Q21" i="9" s="1"/>
  <c r="R21" i="9" s="1"/>
  <c r="O22" i="9"/>
  <c r="P22" i="9" s="1"/>
  <c r="O23" i="9"/>
  <c r="P23" i="9" s="1"/>
  <c r="Q23" i="9" s="1"/>
  <c r="R23" i="9" s="1"/>
  <c r="O24" i="9"/>
  <c r="P24" i="9" s="1"/>
  <c r="Q24" i="9" s="1"/>
  <c r="R24" i="9" s="1"/>
  <c r="O25" i="9"/>
  <c r="P25" i="9" s="1"/>
  <c r="Q25" i="9" s="1"/>
  <c r="R25" i="9" s="1"/>
  <c r="O26" i="9"/>
  <c r="P26" i="9" s="1"/>
  <c r="Q26" i="9" s="1"/>
  <c r="R26" i="9" s="1"/>
  <c r="O27" i="9"/>
  <c r="P27" i="9" s="1"/>
  <c r="Q27" i="9" s="1"/>
  <c r="R27" i="9" s="1"/>
  <c r="O28" i="9"/>
  <c r="P28" i="9" s="1"/>
  <c r="Q28" i="9" s="1"/>
  <c r="R28" i="9" s="1"/>
  <c r="O29" i="9"/>
  <c r="P29" i="9" s="1"/>
  <c r="Q29" i="9" s="1"/>
  <c r="R29" i="9" s="1"/>
  <c r="O30" i="9"/>
  <c r="P30" i="9" s="1"/>
  <c r="Q30" i="9" s="1"/>
  <c r="R30" i="9" s="1"/>
  <c r="O31" i="9"/>
  <c r="P31" i="9" s="1"/>
  <c r="Q31" i="9" s="1"/>
  <c r="R31" i="9" s="1"/>
  <c r="O32" i="9"/>
  <c r="P32" i="9" s="1"/>
  <c r="Q32" i="9" s="1"/>
  <c r="R32" i="9" s="1"/>
  <c r="O34" i="9"/>
  <c r="P34" i="9" s="1"/>
  <c r="Q34" i="9" s="1"/>
  <c r="R34" i="9" s="1"/>
  <c r="O35" i="9"/>
  <c r="P35" i="9" s="1"/>
  <c r="Q35" i="9" s="1"/>
  <c r="R35" i="9" s="1"/>
  <c r="O36" i="9"/>
  <c r="P36" i="9" s="1"/>
  <c r="Q36" i="9" s="1"/>
  <c r="R36" i="9" s="1"/>
  <c r="O37" i="9"/>
  <c r="P37" i="9" s="1"/>
  <c r="Q37" i="9" s="1"/>
  <c r="R37" i="9" s="1"/>
  <c r="O40" i="9"/>
  <c r="P40" i="9" s="1"/>
  <c r="Q40" i="9" s="1"/>
  <c r="R40" i="9" s="1"/>
  <c r="D4" i="9"/>
  <c r="E4" i="9"/>
  <c r="F4" i="9"/>
  <c r="G4" i="9"/>
  <c r="H4" i="9" s="1"/>
  <c r="I4" i="9" s="1"/>
  <c r="O4" i="9"/>
  <c r="P4" i="9" s="1"/>
  <c r="Q4" i="9" s="1"/>
  <c r="R4" i="9" s="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D4" i="1"/>
  <c r="D5" i="1"/>
  <c r="D6" i="1"/>
  <c r="D7" i="1"/>
  <c r="D8" i="1"/>
  <c r="D9" i="1"/>
  <c r="D10" i="1"/>
  <c r="D11" i="1"/>
  <c r="D12" i="1"/>
  <c r="D13" i="1"/>
  <c r="D14" i="1"/>
  <c r="D15" i="1"/>
  <c r="D16" i="1"/>
  <c r="D17" i="1"/>
  <c r="D18" i="1"/>
  <c r="D19" i="1"/>
  <c r="D20" i="1"/>
  <c r="D21" i="1"/>
  <c r="D22" i="1"/>
  <c r="D23" i="1"/>
  <c r="D24" i="1"/>
  <c r="D26" i="1"/>
  <c r="D27" i="1"/>
  <c r="D28" i="1"/>
  <c r="D29" i="1"/>
  <c r="D30" i="1"/>
  <c r="D31" i="1"/>
  <c r="D37" i="1"/>
  <c r="D38" i="1"/>
  <c r="D39" i="1"/>
  <c r="D40" i="1"/>
  <c r="D42" i="1"/>
  <c r="D43" i="1"/>
  <c r="D44" i="1"/>
  <c r="D45" i="1"/>
  <c r="D49" i="1"/>
  <c r="D50" i="1"/>
  <c r="D51" i="1"/>
  <c r="D52" i="1"/>
  <c r="D53" i="1"/>
  <c r="D55" i="1"/>
  <c r="D56" i="1"/>
  <c r="D57" i="1"/>
  <c r="D59" i="1"/>
  <c r="D61" i="1"/>
  <c r="D62" i="1"/>
  <c r="D64" i="1"/>
  <c r="D65" i="1"/>
  <c r="D66" i="1"/>
  <c r="D67" i="1"/>
  <c r="D68" i="1"/>
  <c r="D70" i="1"/>
  <c r="D75" i="1"/>
  <c r="D76" i="1"/>
  <c r="D81" i="1"/>
  <c r="D82" i="1"/>
  <c r="D84" i="1"/>
  <c r="D87" i="1"/>
  <c r="D89" i="1"/>
  <c r="D93" i="1"/>
  <c r="D95" i="1"/>
  <c r="D98" i="1"/>
  <c r="D99" i="1"/>
  <c r="D102" i="1"/>
  <c r="D103" i="1"/>
  <c r="D106" i="1"/>
  <c r="D107" i="1"/>
  <c r="D110" i="1"/>
  <c r="D112" i="1"/>
  <c r="D114" i="1"/>
  <c r="D118" i="1"/>
  <c r="D119" i="1"/>
  <c r="D121" i="1"/>
  <c r="D123" i="1"/>
  <c r="D124" i="1"/>
  <c r="D126" i="1"/>
  <c r="D136" i="1"/>
  <c r="D141" i="1"/>
  <c r="D143" i="1"/>
  <c r="D144" i="1"/>
  <c r="D153" i="1"/>
  <c r="D155" i="1"/>
  <c r="D157" i="1"/>
  <c r="D169" i="1"/>
  <c r="D170" i="1"/>
  <c r="D172" i="1"/>
  <c r="D178" i="1"/>
  <c r="D181" i="1"/>
  <c r="D186" i="1"/>
  <c r="D188" i="1"/>
  <c r="D189" i="1"/>
  <c r="D190" i="1"/>
  <c r="E4" i="1"/>
  <c r="E5" i="1"/>
  <c r="E6" i="1"/>
  <c r="E7" i="1"/>
  <c r="E8" i="1"/>
  <c r="E9" i="1"/>
  <c r="E10" i="1"/>
  <c r="E11" i="1"/>
  <c r="E12" i="1"/>
  <c r="E13" i="1"/>
  <c r="E14" i="1"/>
  <c r="E15" i="1"/>
  <c r="E16" i="1"/>
  <c r="E17" i="1"/>
  <c r="E18" i="1"/>
  <c r="E19" i="1"/>
  <c r="E20" i="1"/>
  <c r="E21" i="1"/>
  <c r="E22" i="1"/>
  <c r="E23" i="1"/>
  <c r="E24" i="1"/>
  <c r="E26" i="1"/>
  <c r="E27" i="1"/>
  <c r="E28" i="1"/>
  <c r="E29" i="1"/>
  <c r="E30" i="1"/>
  <c r="E31" i="1"/>
  <c r="E37" i="1"/>
  <c r="E38" i="1"/>
  <c r="E39" i="1"/>
  <c r="E40" i="1"/>
  <c r="E42" i="1"/>
  <c r="E43" i="1"/>
  <c r="E44" i="1"/>
  <c r="E45" i="1"/>
  <c r="E49" i="1"/>
  <c r="E50" i="1"/>
  <c r="E51" i="1"/>
  <c r="E52" i="1"/>
  <c r="E53" i="1"/>
  <c r="E55" i="1"/>
  <c r="E56" i="1"/>
  <c r="E57" i="1"/>
  <c r="E59" i="1"/>
  <c r="E61" i="1"/>
  <c r="E62" i="1"/>
  <c r="E64" i="1"/>
  <c r="E65" i="1"/>
  <c r="E66" i="1"/>
  <c r="E67" i="1"/>
  <c r="E68" i="1"/>
  <c r="E70" i="1"/>
  <c r="E75" i="1"/>
  <c r="E76" i="1"/>
  <c r="E81" i="1"/>
  <c r="E82" i="1"/>
  <c r="E84" i="1"/>
  <c r="E87" i="1"/>
  <c r="E89" i="1"/>
  <c r="E93" i="1"/>
  <c r="E95" i="1"/>
  <c r="E98" i="1"/>
  <c r="E99" i="1"/>
  <c r="E102" i="1"/>
  <c r="E103" i="1"/>
  <c r="E106" i="1"/>
  <c r="E107" i="1"/>
  <c r="E110" i="1"/>
  <c r="E112" i="1"/>
  <c r="E114" i="1"/>
  <c r="E118" i="1"/>
  <c r="E119" i="1"/>
  <c r="E121" i="1"/>
  <c r="E123" i="1"/>
  <c r="E124" i="1"/>
  <c r="E126" i="1"/>
  <c r="E136" i="1"/>
  <c r="E141" i="1"/>
  <c r="E143" i="1"/>
  <c r="E144" i="1"/>
  <c r="E153" i="1"/>
  <c r="E155" i="1"/>
  <c r="E157" i="1"/>
  <c r="E169" i="1"/>
  <c r="E170" i="1"/>
  <c r="E172" i="1"/>
  <c r="E178" i="1"/>
  <c r="E181" i="1"/>
  <c r="E186" i="1"/>
  <c r="E188" i="1"/>
  <c r="E189" i="1"/>
  <c r="E190" i="1"/>
  <c r="F4" i="1"/>
  <c r="F5" i="1"/>
  <c r="F6" i="1"/>
  <c r="F7" i="1"/>
  <c r="F8" i="1"/>
  <c r="F9" i="1"/>
  <c r="F10" i="1"/>
  <c r="F11" i="1"/>
  <c r="F12" i="1"/>
  <c r="F13" i="1"/>
  <c r="F14" i="1"/>
  <c r="F15" i="1"/>
  <c r="F16" i="1"/>
  <c r="F17" i="1"/>
  <c r="F18" i="1"/>
  <c r="F19" i="1"/>
  <c r="F20" i="1"/>
  <c r="F21" i="1"/>
  <c r="F22" i="1"/>
  <c r="F23" i="1"/>
  <c r="F24" i="1"/>
  <c r="F26" i="1"/>
  <c r="F27" i="1"/>
  <c r="F28" i="1"/>
  <c r="F29" i="1"/>
  <c r="F30" i="1"/>
  <c r="F31" i="1"/>
  <c r="F37" i="1"/>
  <c r="F38" i="1"/>
  <c r="F39" i="1"/>
  <c r="F40" i="1"/>
  <c r="F42" i="1"/>
  <c r="F43" i="1"/>
  <c r="F44" i="1"/>
  <c r="F45" i="1"/>
  <c r="F49" i="1"/>
  <c r="F50" i="1"/>
  <c r="F51" i="1"/>
  <c r="F52" i="1"/>
  <c r="F53" i="1"/>
  <c r="F55" i="1"/>
  <c r="F56" i="1"/>
  <c r="F57" i="1"/>
  <c r="F59" i="1"/>
  <c r="F61" i="1"/>
  <c r="F62" i="1"/>
  <c r="F64" i="1"/>
  <c r="F65" i="1"/>
  <c r="F66" i="1"/>
  <c r="F67" i="1"/>
  <c r="F68" i="1"/>
  <c r="F70" i="1"/>
  <c r="F75" i="1"/>
  <c r="F76" i="1"/>
  <c r="F81" i="1"/>
  <c r="F82" i="1"/>
  <c r="F84" i="1"/>
  <c r="F87" i="1"/>
  <c r="F89" i="1"/>
  <c r="F93" i="1"/>
  <c r="F95" i="1"/>
  <c r="F98" i="1"/>
  <c r="F99" i="1"/>
  <c r="F102" i="1"/>
  <c r="F103" i="1"/>
  <c r="F106" i="1"/>
  <c r="F107" i="1"/>
  <c r="F110" i="1"/>
  <c r="F112" i="1"/>
  <c r="F114" i="1"/>
  <c r="F118" i="1"/>
  <c r="F119" i="1"/>
  <c r="F121" i="1"/>
  <c r="F123" i="1"/>
  <c r="F124" i="1"/>
  <c r="F126" i="1"/>
  <c r="F136" i="1"/>
  <c r="F141" i="1"/>
  <c r="F143" i="1"/>
  <c r="F144" i="1"/>
  <c r="F153" i="1"/>
  <c r="F155" i="1"/>
  <c r="F157" i="1"/>
  <c r="F169" i="1"/>
  <c r="F170" i="1"/>
  <c r="F172" i="1"/>
  <c r="F178" i="1"/>
  <c r="F181" i="1"/>
  <c r="F186" i="1"/>
  <c r="F188" i="1"/>
  <c r="F189" i="1"/>
  <c r="F190" i="1"/>
  <c r="G4" i="1"/>
  <c r="G5" i="1"/>
  <c r="G6" i="1"/>
  <c r="G7" i="1"/>
  <c r="G8" i="1"/>
  <c r="G9" i="1"/>
  <c r="G10" i="1"/>
  <c r="G11" i="1"/>
  <c r="G12" i="1"/>
  <c r="G13" i="1"/>
  <c r="G14" i="1"/>
  <c r="G15" i="1"/>
  <c r="G16" i="1"/>
  <c r="G17" i="1"/>
  <c r="G18" i="1"/>
  <c r="G19" i="1"/>
  <c r="G20" i="1"/>
  <c r="G21" i="1"/>
  <c r="G22" i="1"/>
  <c r="G23" i="1"/>
  <c r="G24" i="1"/>
  <c r="G26" i="1"/>
  <c r="G27" i="1"/>
  <c r="G28" i="1"/>
  <c r="G29" i="1"/>
  <c r="G30" i="1"/>
  <c r="G31" i="1"/>
  <c r="G37" i="1"/>
  <c r="G38" i="1"/>
  <c r="G39" i="1"/>
  <c r="G40" i="1"/>
  <c r="G42" i="1"/>
  <c r="G43" i="1"/>
  <c r="G44" i="1"/>
  <c r="G45" i="1"/>
  <c r="G49" i="1"/>
  <c r="G50" i="1"/>
  <c r="G51" i="1"/>
  <c r="G52" i="1"/>
  <c r="G53" i="1"/>
  <c r="G55" i="1"/>
  <c r="G56" i="1"/>
  <c r="G57" i="1"/>
  <c r="G59" i="1"/>
  <c r="G61" i="1"/>
  <c r="G62" i="1"/>
  <c r="G64" i="1"/>
  <c r="G65" i="1"/>
  <c r="G66" i="1"/>
  <c r="G67" i="1"/>
  <c r="G68" i="1"/>
  <c r="G70" i="1"/>
  <c r="G75" i="1"/>
  <c r="G76" i="1"/>
  <c r="G81" i="1"/>
  <c r="G82" i="1"/>
  <c r="G84" i="1"/>
  <c r="G87" i="1"/>
  <c r="G89" i="1"/>
  <c r="G93" i="1"/>
  <c r="G95" i="1"/>
  <c r="G98" i="1"/>
  <c r="G99" i="1"/>
  <c r="G102" i="1"/>
  <c r="G103" i="1"/>
  <c r="G106" i="1"/>
  <c r="G107" i="1"/>
  <c r="G110" i="1"/>
  <c r="G112" i="1"/>
  <c r="G114" i="1"/>
  <c r="G118" i="1"/>
  <c r="G119" i="1"/>
  <c r="G121" i="1"/>
  <c r="G123" i="1"/>
  <c r="G124" i="1"/>
  <c r="G126" i="1"/>
  <c r="G136" i="1"/>
  <c r="G141" i="1"/>
  <c r="G143" i="1"/>
  <c r="G144" i="1"/>
  <c r="G153" i="1"/>
  <c r="G155" i="1"/>
  <c r="G157" i="1"/>
  <c r="G169" i="1"/>
  <c r="G170" i="1"/>
  <c r="G172" i="1"/>
  <c r="G178" i="1"/>
  <c r="G181" i="1"/>
  <c r="G186" i="1"/>
  <c r="G188" i="1"/>
  <c r="G189" i="1"/>
  <c r="G190" i="1"/>
  <c r="I4" i="1"/>
  <c r="I5" i="1"/>
  <c r="I6" i="1"/>
  <c r="I7" i="1"/>
  <c r="I8" i="1"/>
  <c r="I9" i="1"/>
  <c r="I10" i="1"/>
  <c r="I11" i="1"/>
  <c r="I12" i="1"/>
  <c r="I13" i="1"/>
  <c r="I14" i="1"/>
  <c r="I15" i="1"/>
  <c r="I16" i="1"/>
  <c r="I17" i="1"/>
  <c r="I18" i="1"/>
  <c r="I19" i="1"/>
  <c r="I20" i="1"/>
  <c r="I21" i="1"/>
  <c r="I22" i="1"/>
  <c r="I23" i="1"/>
  <c r="I24" i="1"/>
  <c r="I26" i="1"/>
  <c r="I27" i="1"/>
  <c r="I28" i="1"/>
  <c r="I29" i="1"/>
  <c r="I30" i="1"/>
  <c r="I31" i="1"/>
  <c r="I37" i="1"/>
  <c r="I38" i="1"/>
  <c r="I39" i="1"/>
  <c r="I40" i="1"/>
  <c r="I42" i="1"/>
  <c r="I43" i="1"/>
  <c r="I44" i="1"/>
  <c r="I45" i="1"/>
  <c r="I49" i="1"/>
  <c r="I50" i="1"/>
  <c r="I51" i="1"/>
  <c r="I52" i="1"/>
  <c r="I53" i="1"/>
  <c r="I55" i="1"/>
  <c r="I56" i="1"/>
  <c r="I57" i="1"/>
  <c r="I59" i="1"/>
  <c r="I61" i="1"/>
  <c r="I62" i="1"/>
  <c r="I64" i="1"/>
  <c r="I65" i="1"/>
  <c r="I66" i="1"/>
  <c r="I67" i="1"/>
  <c r="I68" i="1"/>
  <c r="I70" i="1"/>
  <c r="I75" i="1"/>
  <c r="I76" i="1"/>
  <c r="I81" i="1"/>
  <c r="I82" i="1"/>
  <c r="I84" i="1"/>
  <c r="I87" i="1"/>
  <c r="I89" i="1"/>
  <c r="I93" i="1"/>
  <c r="I95" i="1"/>
  <c r="I98" i="1"/>
  <c r="I99" i="1"/>
  <c r="I102" i="1"/>
  <c r="I103" i="1"/>
  <c r="I106" i="1"/>
  <c r="I107" i="1"/>
  <c r="I110" i="1"/>
  <c r="I112" i="1"/>
  <c r="I114" i="1"/>
  <c r="I118" i="1"/>
  <c r="I119" i="1"/>
  <c r="I121" i="1"/>
  <c r="I123" i="1"/>
  <c r="I124" i="1"/>
  <c r="I126" i="1"/>
  <c r="I136" i="1"/>
  <c r="I141" i="1"/>
  <c r="I143" i="1"/>
  <c r="I144" i="1"/>
  <c r="I153" i="1"/>
  <c r="I155" i="1"/>
  <c r="I157" i="1"/>
  <c r="I169" i="1"/>
  <c r="I170" i="1"/>
  <c r="I172" i="1"/>
  <c r="I178" i="1"/>
  <c r="I181" i="1"/>
  <c r="I186" i="1"/>
  <c r="I188" i="1"/>
  <c r="I189" i="1"/>
  <c r="I190" i="1"/>
  <c r="I3" i="1"/>
  <c r="Q22" i="9" l="1"/>
  <c r="R22" i="9" s="1"/>
  <c r="O3" i="9"/>
  <c r="P3" i="9" s="1"/>
  <c r="Q3" i="9" s="1"/>
  <c r="R3" i="9" s="1"/>
  <c r="G3" i="1"/>
  <c r="F3" i="1"/>
  <c r="E3" i="1"/>
  <c r="D3" i="1"/>
  <c r="G3" i="9"/>
  <c r="H3" i="9" s="1"/>
  <c r="I3" i="9" s="1"/>
  <c r="F3" i="9"/>
  <c r="E3" i="9"/>
  <c r="D3" i="9"/>
  <c r="A4" i="9" l="1"/>
  <c r="A3" i="9"/>
  <c r="A3" i="1" l="1"/>
</calcChain>
</file>

<file path=xl/sharedStrings.xml><?xml version="1.0" encoding="utf-8"?>
<sst xmlns="http://schemas.openxmlformats.org/spreadsheetml/2006/main" count="1932" uniqueCount="360">
  <si>
    <t>Title</t>
  </si>
  <si>
    <t>Navigation</t>
  </si>
  <si>
    <t>Content</t>
  </si>
  <si>
    <t>Customization difficulty (1-3)</t>
  </si>
  <si>
    <t>Explanation of sheets</t>
  </si>
  <si>
    <t>How to customize</t>
  </si>
  <si>
    <t>1)</t>
  </si>
  <si>
    <t>2)</t>
  </si>
  <si>
    <t>3)</t>
  </si>
  <si>
    <t>4)</t>
  </si>
  <si>
    <t>5)</t>
  </si>
  <si>
    <t>6)</t>
  </si>
  <si>
    <t>7)</t>
  </si>
  <si>
    <t>8)</t>
  </si>
  <si>
    <t>9)</t>
  </si>
  <si>
    <t>10)</t>
  </si>
  <si>
    <t>Planning</t>
  </si>
  <si>
    <t>Finance</t>
  </si>
  <si>
    <t>Department</t>
  </si>
  <si>
    <t>Definitions &amp; Guides</t>
  </si>
  <si>
    <t>11)</t>
  </si>
  <si>
    <t>12)</t>
  </si>
  <si>
    <t>Date</t>
  </si>
  <si>
    <t>QA</t>
  </si>
  <si>
    <t xml:space="preserve">Production </t>
  </si>
  <si>
    <t>Row Labels</t>
  </si>
  <si>
    <t>Grand Total</t>
  </si>
  <si>
    <t>Employee Name</t>
  </si>
  <si>
    <t>Employee 1</t>
  </si>
  <si>
    <t>Employee 2</t>
  </si>
  <si>
    <t>Employee 3</t>
  </si>
  <si>
    <t>Employee 4</t>
  </si>
  <si>
    <t>Employee 5</t>
  </si>
  <si>
    <t>Employee 6</t>
  </si>
  <si>
    <t>Employee 7</t>
  </si>
  <si>
    <t>Employee 8</t>
  </si>
  <si>
    <t>Employee 9</t>
  </si>
  <si>
    <t>Employee 10</t>
  </si>
  <si>
    <t>Employee 11</t>
  </si>
  <si>
    <t>Employee 12</t>
  </si>
  <si>
    <t>Employee 13</t>
  </si>
  <si>
    <t>Employee 14</t>
  </si>
  <si>
    <t>Employee Code</t>
  </si>
  <si>
    <t>Age</t>
  </si>
  <si>
    <t>Gender</t>
  </si>
  <si>
    <t>Employee Details</t>
  </si>
  <si>
    <t>Gender Details</t>
  </si>
  <si>
    <t>M</t>
  </si>
  <si>
    <t>F</t>
  </si>
  <si>
    <t>Department Details</t>
  </si>
  <si>
    <t>Risk level</t>
  </si>
  <si>
    <t>Normal</t>
  </si>
  <si>
    <t>Medium Risk</t>
  </si>
  <si>
    <t>High Risk</t>
  </si>
  <si>
    <t>Minimum</t>
  </si>
  <si>
    <t>Maximum</t>
  </si>
  <si>
    <t>Very High Risk</t>
  </si>
  <si>
    <t>Temperature Measuring Limits</t>
  </si>
  <si>
    <t>Symptoms</t>
  </si>
  <si>
    <t>Cough</t>
  </si>
  <si>
    <t>Nominate</t>
  </si>
  <si>
    <t>Headache</t>
  </si>
  <si>
    <r>
      <t>TEMP  C</t>
    </r>
    <r>
      <rPr>
        <b/>
        <sz val="12"/>
        <color theme="0"/>
        <rFont val="Arial"/>
        <family val="2"/>
      </rPr>
      <t>º</t>
    </r>
  </si>
  <si>
    <t>Risk Level</t>
  </si>
  <si>
    <t>Wearing Mask</t>
  </si>
  <si>
    <t>Direct contaced infected members</t>
  </si>
  <si>
    <t>New Case</t>
  </si>
  <si>
    <t>Last Working Day</t>
  </si>
  <si>
    <t>Isolation Date</t>
  </si>
  <si>
    <t>Back To Work Date</t>
  </si>
  <si>
    <t>Covid Test Result</t>
  </si>
  <si>
    <t>Isolation Period (In Days)</t>
  </si>
  <si>
    <t>Case Decision</t>
  </si>
  <si>
    <t>1st Degree Family Status?</t>
  </si>
  <si>
    <t>Production</t>
  </si>
  <si>
    <t>Warehouse</t>
  </si>
  <si>
    <t>Delivery</t>
  </si>
  <si>
    <t>HR</t>
  </si>
  <si>
    <t>Purchasing</t>
  </si>
  <si>
    <t>Positive</t>
  </si>
  <si>
    <t>Confirmed</t>
  </si>
  <si>
    <t>EMP-00001</t>
  </si>
  <si>
    <t>Employee 15</t>
  </si>
  <si>
    <t>Employee 16</t>
  </si>
  <si>
    <t>Employee 17</t>
  </si>
  <si>
    <t>Employee 18</t>
  </si>
  <si>
    <t>Employee 19</t>
  </si>
  <si>
    <t>Employee 20</t>
  </si>
  <si>
    <t>Employee 21</t>
  </si>
  <si>
    <t>Employee 22</t>
  </si>
  <si>
    <t>Employee 23</t>
  </si>
  <si>
    <t>Employee 24</t>
  </si>
  <si>
    <t>Employee 25</t>
  </si>
  <si>
    <t>Employee 26</t>
  </si>
  <si>
    <t>Employee 27</t>
  </si>
  <si>
    <t>Employee 28</t>
  </si>
  <si>
    <t>Employee 29</t>
  </si>
  <si>
    <t>Employee 30</t>
  </si>
  <si>
    <t>Employee 31</t>
  </si>
  <si>
    <t>Employee 32</t>
  </si>
  <si>
    <t>Employee 33</t>
  </si>
  <si>
    <t>Employee 34</t>
  </si>
  <si>
    <t>Employee 35</t>
  </si>
  <si>
    <t>Employee 36</t>
  </si>
  <si>
    <t>Employee 37</t>
  </si>
  <si>
    <t>Employee 38</t>
  </si>
  <si>
    <t>Employee 39</t>
  </si>
  <si>
    <t>Employee 40</t>
  </si>
  <si>
    <t>Employee 41</t>
  </si>
  <si>
    <t>Employee 42</t>
  </si>
  <si>
    <t>Employee 43</t>
  </si>
  <si>
    <t>Employee 44</t>
  </si>
  <si>
    <t>Employee 45</t>
  </si>
  <si>
    <t>Employee 46</t>
  </si>
  <si>
    <t>Employee 47</t>
  </si>
  <si>
    <t>Employee 48</t>
  </si>
  <si>
    <t>Employee 49</t>
  </si>
  <si>
    <t>Employee 50</t>
  </si>
  <si>
    <t>Employee 51</t>
  </si>
  <si>
    <t>Employee 52</t>
  </si>
  <si>
    <t>Employee 53</t>
  </si>
  <si>
    <t>Employee 54</t>
  </si>
  <si>
    <t>Employee 55</t>
  </si>
  <si>
    <t>Employee 56</t>
  </si>
  <si>
    <t>Employee 57</t>
  </si>
  <si>
    <t>Employee 58</t>
  </si>
  <si>
    <t>Employee 59</t>
  </si>
  <si>
    <t>Employee 60</t>
  </si>
  <si>
    <t>Employee 61</t>
  </si>
  <si>
    <t>Employee 62</t>
  </si>
  <si>
    <t>Employee 63</t>
  </si>
  <si>
    <t>Employee 64</t>
  </si>
  <si>
    <t>Employee 65</t>
  </si>
  <si>
    <t>Employee 66</t>
  </si>
  <si>
    <t>Employee 67</t>
  </si>
  <si>
    <t>Employee 68</t>
  </si>
  <si>
    <t>Employee 69</t>
  </si>
  <si>
    <t>Employee 70</t>
  </si>
  <si>
    <t>Employee 71</t>
  </si>
  <si>
    <t>Employee 72</t>
  </si>
  <si>
    <t>Employee 73</t>
  </si>
  <si>
    <t>Employee 74</t>
  </si>
  <si>
    <t>Employee 75</t>
  </si>
  <si>
    <t>Employee 76</t>
  </si>
  <si>
    <t>Employee 77</t>
  </si>
  <si>
    <t>Employee 78</t>
  </si>
  <si>
    <t>Employee 79</t>
  </si>
  <si>
    <t>Employee 80</t>
  </si>
  <si>
    <t>Employee 81</t>
  </si>
  <si>
    <t>Employee 82</t>
  </si>
  <si>
    <t>Employee 83</t>
  </si>
  <si>
    <t>Employee 84</t>
  </si>
  <si>
    <t>Employee 85</t>
  </si>
  <si>
    <t>Employee 86</t>
  </si>
  <si>
    <t>Employee 87</t>
  </si>
  <si>
    <t>Employee 88</t>
  </si>
  <si>
    <t>Employee 89</t>
  </si>
  <si>
    <t>Employee 90</t>
  </si>
  <si>
    <t>Employee 91</t>
  </si>
  <si>
    <t>Employee 92</t>
  </si>
  <si>
    <t>Employee 93</t>
  </si>
  <si>
    <t>Employee 94</t>
  </si>
  <si>
    <t>Employee 95</t>
  </si>
  <si>
    <t>Employee 96</t>
  </si>
  <si>
    <t>Employee 97</t>
  </si>
  <si>
    <t>Employee 98</t>
  </si>
  <si>
    <t>Employee 99</t>
  </si>
  <si>
    <t>Employee 100</t>
  </si>
  <si>
    <t>Employee 101</t>
  </si>
  <si>
    <t>Employee 102</t>
  </si>
  <si>
    <t>Employee 103</t>
  </si>
  <si>
    <t>Employee 104</t>
  </si>
  <si>
    <t>Employee 105</t>
  </si>
  <si>
    <t>Employee 106</t>
  </si>
  <si>
    <t>EMP-00002</t>
  </si>
  <si>
    <t>EMP-00003</t>
  </si>
  <si>
    <t>EMP-00004</t>
  </si>
  <si>
    <t>EMP-00005</t>
  </si>
  <si>
    <t>EMP-00006</t>
  </si>
  <si>
    <t>EMP-00007</t>
  </si>
  <si>
    <t>EMP-00008</t>
  </si>
  <si>
    <t>EMP-00009</t>
  </si>
  <si>
    <t>EMP-00010</t>
  </si>
  <si>
    <t>EMP-00011</t>
  </si>
  <si>
    <t>EMP-00012</t>
  </si>
  <si>
    <t>EMP-00013</t>
  </si>
  <si>
    <t>EMP-00014</t>
  </si>
  <si>
    <t>EMP-00015</t>
  </si>
  <si>
    <t>EMP-00016</t>
  </si>
  <si>
    <t>EMP-00017</t>
  </si>
  <si>
    <t>EMP-00018</t>
  </si>
  <si>
    <t>EMP-00019</t>
  </si>
  <si>
    <t>EMP-00020</t>
  </si>
  <si>
    <t>EMP-00021</t>
  </si>
  <si>
    <t>EMP-00022</t>
  </si>
  <si>
    <t>EMP-00023</t>
  </si>
  <si>
    <t>EMP-00024</t>
  </si>
  <si>
    <t>EMP-00025</t>
  </si>
  <si>
    <t>EMP-00026</t>
  </si>
  <si>
    <t>EMP-00027</t>
  </si>
  <si>
    <t>EMP-00028</t>
  </si>
  <si>
    <t>EMP-00029</t>
  </si>
  <si>
    <t>EMP-00030</t>
  </si>
  <si>
    <t>EMP-00031</t>
  </si>
  <si>
    <t>EMP-00032</t>
  </si>
  <si>
    <t>EMP-00033</t>
  </si>
  <si>
    <t>EMP-00034</t>
  </si>
  <si>
    <t>EMP-00035</t>
  </si>
  <si>
    <t>EMP-00036</t>
  </si>
  <si>
    <t>EMP-00037</t>
  </si>
  <si>
    <t>EMP-00038</t>
  </si>
  <si>
    <t>EMP-00039</t>
  </si>
  <si>
    <t>EMP-00040</t>
  </si>
  <si>
    <t>EMP-00041</t>
  </si>
  <si>
    <t>EMP-00042</t>
  </si>
  <si>
    <t>EMP-00043</t>
  </si>
  <si>
    <t>EMP-00044</t>
  </si>
  <si>
    <t>EMP-00045</t>
  </si>
  <si>
    <t>EMP-00046</t>
  </si>
  <si>
    <t>EMP-00047</t>
  </si>
  <si>
    <t>EMP-00048</t>
  </si>
  <si>
    <t>EMP-00049</t>
  </si>
  <si>
    <t>EMP-00050</t>
  </si>
  <si>
    <t>EMP-00051</t>
  </si>
  <si>
    <t>EMP-00052</t>
  </si>
  <si>
    <t>EMP-00053</t>
  </si>
  <si>
    <t>EMP-00054</t>
  </si>
  <si>
    <t>EMP-00055</t>
  </si>
  <si>
    <t>EMP-00056</t>
  </si>
  <si>
    <t>EMP-00057</t>
  </si>
  <si>
    <t>EMP-00058</t>
  </si>
  <si>
    <t>EMP-00059</t>
  </si>
  <si>
    <t>EMP-00060</t>
  </si>
  <si>
    <t>EMP-00061</t>
  </si>
  <si>
    <t>EMP-00062</t>
  </si>
  <si>
    <t>EMP-00063</t>
  </si>
  <si>
    <t>EMP-00064</t>
  </si>
  <si>
    <t>EMP-00065</t>
  </si>
  <si>
    <t>EMP-00066</t>
  </si>
  <si>
    <t>EMP-00067</t>
  </si>
  <si>
    <t>EMP-00068</t>
  </si>
  <si>
    <t>EMP-00069</t>
  </si>
  <si>
    <t>EMP-00070</t>
  </si>
  <si>
    <t>EMP-00071</t>
  </si>
  <si>
    <t>EMP-00072</t>
  </si>
  <si>
    <t>EMP-00073</t>
  </si>
  <si>
    <t>EMP-00074</t>
  </si>
  <si>
    <t>EMP-00075</t>
  </si>
  <si>
    <t>EMP-00076</t>
  </si>
  <si>
    <t>EMP-00077</t>
  </si>
  <si>
    <t>EMP-00078</t>
  </si>
  <si>
    <t>EMP-00079</t>
  </si>
  <si>
    <t>EMP-00080</t>
  </si>
  <si>
    <t>EMP-00081</t>
  </si>
  <si>
    <t>EMP-00082</t>
  </si>
  <si>
    <t>EMP-00083</t>
  </si>
  <si>
    <t>EMP-00084</t>
  </si>
  <si>
    <t>EMP-00085</t>
  </si>
  <si>
    <t>EMP-00086</t>
  </si>
  <si>
    <t>EMP-00087</t>
  </si>
  <si>
    <t>EMP-00088</t>
  </si>
  <si>
    <t>EMP-00089</t>
  </si>
  <si>
    <t>EMP-00090</t>
  </si>
  <si>
    <t>EMP-00091</t>
  </si>
  <si>
    <t>EMP-00092</t>
  </si>
  <si>
    <t>EMP-00093</t>
  </si>
  <si>
    <t>EMP-00094</t>
  </si>
  <si>
    <t>EMP-00095</t>
  </si>
  <si>
    <t>EMP-00096</t>
  </si>
  <si>
    <t>EMP-00097</t>
  </si>
  <si>
    <t>EMP-00098</t>
  </si>
  <si>
    <t>EMP-00099</t>
  </si>
  <si>
    <t>EMP-00100</t>
  </si>
  <si>
    <t>EMP-00101</t>
  </si>
  <si>
    <t>EMP-00102</t>
  </si>
  <si>
    <t>EMP-00103</t>
  </si>
  <si>
    <t>EMP-00104</t>
  </si>
  <si>
    <t>EMP-00105</t>
  </si>
  <si>
    <t>EMP-00106</t>
  </si>
  <si>
    <t>Yes</t>
  </si>
  <si>
    <t>No</t>
  </si>
  <si>
    <t>Negative</t>
  </si>
  <si>
    <t>No Symptom</t>
  </si>
  <si>
    <t>Cough &amp; Nominate</t>
  </si>
  <si>
    <t>Headache &amp; Cough</t>
  </si>
  <si>
    <t>Suspected</t>
  </si>
  <si>
    <t>Remain Days</t>
  </si>
  <si>
    <t>Covid Test Result (After)</t>
  </si>
  <si>
    <t>Isolation Ending Date</t>
  </si>
  <si>
    <t>Final Status</t>
  </si>
  <si>
    <t>Recovered</t>
  </si>
  <si>
    <t>Isolating Completion%</t>
  </si>
  <si>
    <t>Coronavirus Health Tracker Dashboard</t>
  </si>
  <si>
    <t>&lt;Company Name&gt;</t>
  </si>
  <si>
    <t>Total Members</t>
  </si>
  <si>
    <t>Mask Commitment</t>
  </si>
  <si>
    <t>Total Cases</t>
  </si>
  <si>
    <t>Count of Employee Name</t>
  </si>
  <si>
    <t>Column Labels</t>
  </si>
  <si>
    <t>Count of Case Decision</t>
  </si>
  <si>
    <t>Count of Final Status</t>
  </si>
  <si>
    <t>Jan</t>
  </si>
  <si>
    <t>Feb</t>
  </si>
  <si>
    <t>Mar</t>
  </si>
  <si>
    <t>Apr</t>
  </si>
  <si>
    <t>May</t>
  </si>
  <si>
    <t>Jun</t>
  </si>
  <si>
    <t>Jul</t>
  </si>
  <si>
    <t>Aug</t>
  </si>
  <si>
    <t>Sep</t>
  </si>
  <si>
    <t>Oct</t>
  </si>
  <si>
    <t>Nov</t>
  </si>
  <si>
    <t>Dec</t>
  </si>
  <si>
    <t>Average of TEMP  Cº</t>
  </si>
  <si>
    <t>Department Manpower</t>
  </si>
  <si>
    <t>Infected Cases %</t>
  </si>
  <si>
    <t>Disease Symptom</t>
  </si>
  <si>
    <t>Dashboard</t>
  </si>
  <si>
    <t>COVID19 Tracker</t>
  </si>
  <si>
    <t>COVID19 Cases</t>
  </si>
  <si>
    <t>Database</t>
  </si>
  <si>
    <t>New Record</t>
  </si>
  <si>
    <t>Department Manpower.</t>
  </si>
  <si>
    <t>Infection %</t>
  </si>
  <si>
    <t>Number Of Cases</t>
  </si>
  <si>
    <t>Home quarantine</t>
  </si>
  <si>
    <t>Sum of Home quarantine</t>
  </si>
  <si>
    <t>(blank)</t>
  </si>
  <si>
    <t>COVID-19 Business Health and Contact Tracing Tracker</t>
  </si>
  <si>
    <t xml:space="preserve">Track safety measures and employees health to reduce likelihood of COVID-19 spread by daily temperature checking and symptom reporting. </t>
  </si>
  <si>
    <t>Risk level of COVID-19 infection, indicated by human temperature measurement by thermometer or temperature gage</t>
  </si>
  <si>
    <t>Symptom detected by someone other than the individual affected by the disease.</t>
  </si>
  <si>
    <t>Review COVID-19 employee health status by trends and statistics</t>
  </si>
  <si>
    <t>Record daily employee records, temperature and symptoms</t>
  </si>
  <si>
    <t>Record all suspected and confirmed cases and step by step action taken until a healthy recovery</t>
  </si>
  <si>
    <t xml:space="preserve">Establish employee and COVID-19 database that reflects employee raw data and daily records </t>
  </si>
  <si>
    <t>In the Database sheet, register Employee Name, Employee Code, Department and Age</t>
  </si>
  <si>
    <t>Register your Organiazation Departments and gender that will reflect employee database through drop down list</t>
  </si>
  <si>
    <t>Set temperature measurement specifications to  reflect degree of infection risk for employee records</t>
  </si>
  <si>
    <t>Record available COVID-19 symptom which will be available from drop down list in the COVID-19 Tracker sheet</t>
  </si>
  <si>
    <t>Database is ready and will directly will reflect in other sheets</t>
  </si>
  <si>
    <t>In COVID-19 Tracker sheet, record measurements on a daily basis</t>
  </si>
  <si>
    <t>*Note: Only white blank cells are available for data entry and dropdown list selection. Don't try to use gray cells as they contains formulas.*</t>
  </si>
  <si>
    <t>Some data needs to be recorded manually and another can be selected by drop down list</t>
  </si>
  <si>
    <t>To add new data, follow the arrow that guides you to add a new record</t>
  </si>
  <si>
    <t>In the COVID-19 Cases sheet, record all confirmed and suspected cases</t>
  </si>
  <si>
    <t>Record the Date and Employee Details then register step by step action taken according to until the employee is back to work</t>
  </si>
  <si>
    <t>In the Dashboard sheet, review COVID-19 employee status and progress. It's visualized by colored charts and statistics which can be manipulated with slicers</t>
  </si>
  <si>
    <t>Disease Symptoms</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</si>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</sst>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quot;$&quot;#,##0"/>
    <numFmt numFmtId="165" formatCode="0.0"/>
    <numFmt numFmtId="166" formatCode="[$-409]d\-mmm\-yy;@"/>
    <numFmt numFmtId="167" formatCode="_(* #,##0_);_(* \(#,##0\);_(* &quot;-&quot;??_);_(@_)"/>
    <numFmt numFmtId="168" formatCode="[$$-409]#,##0_);\([$$-409]#,##0\)"/>
  </numFmts>
  <fonts count="40" x14ac:knownFonts="1">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b/>
      <sz val="10"/>
      <color theme="0"/>
      <name val="Arial"/>
      <family val="2"/>
    </font>
    <font>
      <sz val="8"/>
      <name val="Arial"/>
      <family val="2"/>
    </font>
    <font>
      <b/>
      <sz val="10"/>
      <color theme="1"/>
      <name val="Arial"/>
      <family val="2"/>
    </font>
    <font>
      <u/>
      <sz val="10"/>
      <color theme="10"/>
      <name val="Arial"/>
      <family val="2"/>
    </font>
    <font>
      <sz val="12"/>
      <color theme="1"/>
      <name val="Calibri"/>
      <family val="2"/>
      <scheme val="minor"/>
    </font>
    <font>
      <sz val="12"/>
      <color theme="1"/>
      <name val="Arial"/>
      <family val="2"/>
    </font>
    <font>
      <sz val="10"/>
      <color rgb="FF50B47F"/>
      <name val="Arial"/>
      <family val="2"/>
    </font>
    <font>
      <sz val="10"/>
      <color theme="9" tint="0.59999389629810485"/>
      <name val="Arial"/>
      <family val="2"/>
    </font>
    <font>
      <sz val="12"/>
      <color theme="0"/>
      <name val="Arial"/>
      <family val="2"/>
    </font>
    <font>
      <u/>
      <sz val="10"/>
      <color theme="0"/>
      <name val="Arial"/>
      <family val="2"/>
    </font>
    <font>
      <b/>
      <sz val="10"/>
      <color theme="0" tint="-0.34998626667073579"/>
      <name val="Arial"/>
      <family val="2"/>
    </font>
    <font>
      <sz val="10"/>
      <color theme="0" tint="-0.34998626667073579"/>
      <name val="Arial"/>
      <family val="2"/>
    </font>
    <font>
      <sz val="10"/>
      <name val="Arial"/>
      <family val="2"/>
    </font>
    <font>
      <i/>
      <u/>
      <sz val="10"/>
      <color theme="1"/>
      <name val="Arial"/>
      <family val="2"/>
    </font>
    <font>
      <b/>
      <u/>
      <sz val="10"/>
      <color theme="1"/>
      <name val="Arial"/>
      <family val="2"/>
    </font>
    <font>
      <b/>
      <u/>
      <sz val="10"/>
      <color theme="1" tint="0.499984740745262"/>
      <name val="Arial"/>
      <family val="2"/>
    </font>
    <font>
      <b/>
      <sz val="12"/>
      <color theme="0"/>
      <name val="Arial"/>
      <family val="2"/>
    </font>
    <font>
      <sz val="10"/>
      <color rgb="FF8A0000"/>
      <name val="Arial"/>
      <family val="2"/>
    </font>
    <font>
      <sz val="10"/>
      <color rgb="FFC00000"/>
      <name val="Arial"/>
      <family val="2"/>
    </font>
    <font>
      <u val="singleAccounting"/>
      <sz val="10"/>
      <name val="Arial"/>
      <family val="2"/>
    </font>
    <font>
      <b/>
      <sz val="10"/>
      <name val="Arial"/>
      <family val="2"/>
    </font>
    <font>
      <u/>
      <sz val="10"/>
      <name val="Arial"/>
      <family val="2"/>
    </font>
    <font>
      <sz val="16"/>
      <color theme="0"/>
      <name val="Arial"/>
      <family val="2"/>
    </font>
    <font>
      <sz val="18"/>
      <name val="Arial"/>
      <family val="2"/>
    </font>
    <font>
      <b/>
      <sz val="18"/>
      <color theme="0"/>
      <name val="Arial"/>
      <family val="2"/>
    </font>
    <font>
      <sz val="72"/>
      <color rgb="FF50B47F"/>
      <name val="Arial"/>
      <family val="2"/>
    </font>
    <font>
      <sz val="72"/>
      <color rgb="FF8A0000"/>
      <name val="Arial"/>
      <family val="2"/>
    </font>
    <font>
      <sz val="72"/>
      <color theme="1" tint="0.34998626667073579"/>
      <name val="Arial"/>
      <family val="2"/>
    </font>
    <font>
      <sz val="20"/>
      <color theme="1" tint="0.34998626667073579"/>
      <name val="Arial"/>
      <family val="2"/>
    </font>
    <font>
      <sz val="20"/>
      <color rgb="FFC00000"/>
      <name val="Arial"/>
      <family val="2"/>
    </font>
    <font>
      <sz val="20"/>
      <color rgb="FF50B47F"/>
      <name val="Arial"/>
      <family val="2"/>
    </font>
    <font>
      <sz val="11"/>
      <name val="Arial"/>
      <family val="2"/>
    </font>
    <font>
      <sz val="48"/>
      <color theme="1" tint="0.34998626667073579"/>
      <name val="Arial"/>
      <family val="2"/>
    </font>
    <font>
      <b/>
      <sz val="12"/>
      <name val="Arial"/>
      <family val="2"/>
    </font>
    <font>
      <sz val="11"/>
      <color rgb="FF000000"/>
      <name val="Calibri"/>
      <family val="2"/>
    </font>
  </fonts>
  <fills count="9">
    <fill>
      <patternFill patternType="none"/>
    </fill>
    <fill>
      <patternFill patternType="gray125"/>
    </fill>
    <fill>
      <patternFill patternType="solid">
        <fgColor rgb="FF50B47F"/>
        <bgColor indexed="64"/>
      </patternFill>
    </fill>
    <fill>
      <patternFill patternType="solid">
        <fgColor rgb="FF8FCFAD"/>
        <bgColor indexed="64"/>
      </patternFill>
    </fill>
    <fill>
      <patternFill patternType="solid">
        <fgColor theme="0" tint="-4.9989318521683403E-2"/>
        <bgColor indexed="64"/>
      </patternFill>
    </fill>
    <fill>
      <patternFill patternType="solid">
        <fgColor theme="0"/>
        <bgColor indexed="64"/>
      </patternFill>
    </fill>
    <fill>
      <patternFill patternType="solid">
        <fgColor rgb="FF8A0000"/>
        <bgColor indexed="64"/>
      </patternFill>
    </fill>
    <fill>
      <patternFill patternType="solid">
        <fgColor theme="0" tint="-0.14999847407452621"/>
        <bgColor indexed="64"/>
      </patternFill>
    </fill>
    <fill>
      <patternFill patternType="solid">
        <fgColor theme="0" tint="-0.34998626667073579"/>
        <bgColor indexed="64"/>
      </patternFill>
    </fill>
  </fills>
  <borders count="10">
    <border>
      <left/>
      <right/>
      <top/>
      <bottom/>
      <diagonal/>
    </border>
    <border>
      <left/>
      <right/>
      <top/>
      <bottom style="medium">
        <color theme="0" tint="-0.14996795556505021"/>
      </bottom>
      <diagonal/>
    </border>
    <border>
      <left/>
      <right/>
      <top/>
      <bottom style="thin">
        <color theme="0" tint="-0.14996795556505021"/>
      </bottom>
      <diagonal/>
    </border>
    <border>
      <left/>
      <right/>
      <top/>
      <bottom style="medium">
        <color rgb="FFD9D9D9"/>
      </bottom>
      <diagonal/>
    </border>
    <border>
      <left/>
      <right/>
      <top/>
      <bottom style="medium">
        <color theme="0" tint="-4.9989318521683403E-2"/>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right style="medium">
        <color theme="0" tint="-0.24994659260841701"/>
      </right>
      <top/>
      <bottom/>
      <diagonal/>
    </border>
    <border>
      <left/>
      <right/>
      <top style="medium">
        <color theme="0" tint="-4.9989318521683403E-2"/>
      </top>
      <bottom/>
      <diagonal/>
    </border>
    <border>
      <left/>
      <right style="medium">
        <color theme="0" tint="-0.24994659260841701"/>
      </right>
      <top style="medium">
        <color theme="0" tint="-4.9989318521683403E-2"/>
      </top>
      <bottom/>
      <diagonal/>
    </border>
  </borders>
  <cellStyleXfs count="16">
    <xf numFmtId="0" fontId="0" fillId="0" borderId="0"/>
    <xf numFmtId="9" fontId="4" fillId="0" borderId="0" applyFont="0" applyFill="0" applyBorder="0" applyAlignment="0" applyProtection="0"/>
    <xf numFmtId="0" fontId="8" fillId="0" borderId="0" applyNumberFormat="0" applyFill="0" applyBorder="0" applyAlignment="0" applyProtection="0"/>
    <xf numFmtId="0" fontId="9" fillId="0" borderId="0"/>
    <xf numFmtId="0" fontId="4"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43" fontId="4"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8" fillId="5" borderId="0" applyFont="0" applyAlignment="0">
      <alignment horizontal="center" vertical="center" wrapText="1"/>
    </xf>
  </cellStyleXfs>
  <cellXfs count="130">
    <xf numFmtId="0" fontId="0" fillId="0" borderId="0" xfId="0"/>
    <xf numFmtId="0" fontId="10" fillId="0" borderId="0" xfId="3" applyFont="1"/>
    <xf numFmtId="0" fontId="4" fillId="0" borderId="0" xfId="4"/>
    <xf numFmtId="0" fontId="7" fillId="0" borderId="0" xfId="4" applyFont="1"/>
    <xf numFmtId="0" fontId="7" fillId="0" borderId="0" xfId="4" quotePrefix="1" applyFont="1" applyAlignment="1">
      <alignment horizontal="right"/>
    </xf>
    <xf numFmtId="0" fontId="11" fillId="0" borderId="0" xfId="0" applyFont="1"/>
    <xf numFmtId="0" fontId="13" fillId="2" borderId="0" xfId="3" applyFont="1" applyFill="1"/>
    <xf numFmtId="0" fontId="5" fillId="2" borderId="0" xfId="3" applyFont="1" applyFill="1"/>
    <xf numFmtId="0" fontId="14" fillId="2" borderId="0" xfId="2" applyFont="1" applyFill="1"/>
    <xf numFmtId="0" fontId="12" fillId="2"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15" fillId="0" borderId="0" xfId="4" quotePrefix="1" applyFont="1" applyAlignment="1">
      <alignment horizontal="right"/>
    </xf>
    <xf numFmtId="0" fontId="16" fillId="0" borderId="0" xfId="4" applyFont="1"/>
    <xf numFmtId="0" fontId="18" fillId="0" borderId="0" xfId="0" applyFont="1" applyAlignment="1">
      <alignment horizontal="right"/>
    </xf>
    <xf numFmtId="0" fontId="7" fillId="0" borderId="0" xfId="0" applyFont="1"/>
    <xf numFmtId="0" fontId="19" fillId="0" borderId="0" xfId="4" quotePrefix="1" applyFont="1" applyAlignment="1">
      <alignment horizontal="right"/>
    </xf>
    <xf numFmtId="0" fontId="17" fillId="3" borderId="2" xfId="0" applyFont="1" applyFill="1" applyBorder="1"/>
    <xf numFmtId="0" fontId="0" fillId="4" borderId="0" xfId="0" applyFill="1"/>
    <xf numFmtId="0" fontId="20" fillId="5" borderId="0" xfId="0" applyFont="1" applyFill="1"/>
    <xf numFmtId="0" fontId="8" fillId="0" borderId="0" xfId="2"/>
    <xf numFmtId="0" fontId="17" fillId="0" borderId="0" xfId="2" applyNumberFormat="1" applyFont="1" applyFill="1" applyBorder="1" applyAlignment="1">
      <alignment horizontal="center"/>
    </xf>
    <xf numFmtId="0" fontId="17" fillId="3" borderId="0" xfId="0" applyFont="1" applyFill="1"/>
    <xf numFmtId="0" fontId="0" fillId="0" borderId="0" xfId="0" pivotButton="1"/>
    <xf numFmtId="0" fontId="0" fillId="0" borderId="0" xfId="0" applyAlignment="1">
      <alignment horizontal="left"/>
    </xf>
    <xf numFmtId="9" fontId="0" fillId="0" borderId="0" xfId="0" applyNumberFormat="1"/>
    <xf numFmtId="164" fontId="0" fillId="0" borderId="0" xfId="0" applyNumberFormat="1" applyAlignment="1">
      <alignment horizontal="center"/>
    </xf>
    <xf numFmtId="0" fontId="0" fillId="0" borderId="0" xfId="1" applyNumberFormat="1" applyFont="1" applyFill="1" applyBorder="1" applyAlignment="1">
      <alignment horizontal="center"/>
    </xf>
    <xf numFmtId="165" fontId="0" fillId="0" borderId="0" xfId="1" applyNumberFormat="1" applyFont="1" applyFill="1" applyBorder="1" applyAlignment="1">
      <alignment horizontal="center"/>
    </xf>
    <xf numFmtId="0" fontId="0" fillId="3" borderId="2" xfId="0" applyFill="1" applyBorder="1" applyAlignment="1">
      <alignment horizontal="left"/>
    </xf>
    <xf numFmtId="0" fontId="17" fillId="3" borderId="2" xfId="0" applyFont="1" applyFill="1" applyBorder="1" applyAlignment="1">
      <alignment horizontal="left"/>
    </xf>
    <xf numFmtId="0" fontId="17" fillId="3" borderId="0" xfId="0" applyFont="1" applyFill="1" applyAlignment="1">
      <alignment horizontal="left"/>
    </xf>
    <xf numFmtId="0" fontId="17" fillId="0" borderId="0" xfId="2" applyNumberFormat="1" applyFont="1" applyFill="1" applyAlignment="1">
      <alignment horizontal="left"/>
    </xf>
    <xf numFmtId="0" fontId="17" fillId="0" borderId="0" xfId="2" applyFont="1" applyFill="1" applyAlignment="1">
      <alignment horizontal="left" vertical="center"/>
    </xf>
    <xf numFmtId="0" fontId="17" fillId="0" borderId="0" xfId="0" applyFont="1" applyAlignment="1">
      <alignment horizontal="left" vertical="center"/>
    </xf>
    <xf numFmtId="0" fontId="17" fillId="0" borderId="0" xfId="0" applyFont="1" applyAlignment="1">
      <alignment horizontal="left"/>
    </xf>
    <xf numFmtId="164" fontId="17" fillId="0" borderId="0" xfId="2" applyNumberFormat="1" applyFont="1" applyFill="1" applyAlignment="1">
      <alignment horizontal="left"/>
    </xf>
    <xf numFmtId="164" fontId="17" fillId="0" borderId="0" xfId="0" applyNumberFormat="1" applyFont="1" applyAlignment="1">
      <alignment horizontal="left"/>
    </xf>
    <xf numFmtId="166" fontId="0" fillId="0" borderId="0" xfId="0" applyNumberFormat="1" applyAlignment="1">
      <alignment horizontal="center"/>
    </xf>
    <xf numFmtId="166" fontId="0" fillId="0" borderId="0" xfId="1" applyNumberFormat="1" applyFont="1" applyFill="1" applyBorder="1" applyAlignment="1">
      <alignment horizontal="center"/>
    </xf>
    <xf numFmtId="1" fontId="0" fillId="0" borderId="0" xfId="1" applyNumberFormat="1" applyFont="1" applyFill="1" applyBorder="1" applyAlignment="1">
      <alignment horizontal="center"/>
    </xf>
    <xf numFmtId="0" fontId="0" fillId="0" borderId="0" xfId="0" applyAlignment="1">
      <alignment horizontal="center"/>
    </xf>
    <xf numFmtId="165" fontId="0" fillId="0" borderId="0" xfId="0" quotePrefix="1" applyNumberFormat="1" applyAlignment="1">
      <alignment horizontal="center"/>
    </xf>
    <xf numFmtId="0" fontId="0" fillId="5" borderId="0" xfId="0" applyFill="1"/>
    <xf numFmtId="0" fontId="0" fillId="5" borderId="0" xfId="0" applyFill="1" applyAlignment="1">
      <alignment horizontal="left"/>
    </xf>
    <xf numFmtId="0" fontId="17" fillId="5" borderId="0" xfId="0" applyFont="1" applyFill="1" applyAlignment="1">
      <alignment horizontal="left"/>
    </xf>
    <xf numFmtId="0" fontId="17" fillId="5" borderId="0" xfId="0" applyFont="1" applyFill="1" applyAlignment="1">
      <alignment horizontal="left" vertical="center"/>
    </xf>
    <xf numFmtId="164" fontId="17" fillId="5" borderId="0" xfId="0" applyNumberFormat="1" applyFont="1" applyFill="1" applyAlignment="1">
      <alignment horizontal="left"/>
    </xf>
    <xf numFmtId="0" fontId="12" fillId="6"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22" fillId="0" borderId="0" xfId="0" applyFont="1"/>
    <xf numFmtId="167" fontId="0" fillId="7" borderId="0" xfId="11" applyNumberFormat="1" applyFont="1" applyFill="1" applyBorder="1" applyAlignment="1">
      <alignment horizontal="center"/>
    </xf>
    <xf numFmtId="166" fontId="0" fillId="7" borderId="0" xfId="1" applyNumberFormat="1" applyFont="1" applyFill="1" applyBorder="1" applyAlignment="1">
      <alignment horizontal="center"/>
    </xf>
    <xf numFmtId="0" fontId="17" fillId="7" borderId="0" xfId="2" applyNumberFormat="1" applyFont="1" applyFill="1" applyBorder="1" applyAlignment="1">
      <alignment horizontal="center"/>
    </xf>
    <xf numFmtId="0" fontId="23" fillId="0" borderId="0" xfId="0" quotePrefix="1" applyFont="1" applyAlignment="1">
      <alignment horizontal="left" vertical="center"/>
    </xf>
    <xf numFmtId="0" fontId="11" fillId="0" borderId="0" xfId="2" quotePrefix="1" applyNumberFormat="1" applyFont="1" applyFill="1" applyAlignment="1">
      <alignment horizontal="left"/>
    </xf>
    <xf numFmtId="167" fontId="0" fillId="7" borderId="0" xfId="11" applyNumberFormat="1" applyFont="1" applyFill="1" applyAlignment="1">
      <alignment horizontal="center"/>
    </xf>
    <xf numFmtId="165" fontId="0" fillId="0" borderId="0" xfId="0" applyNumberFormat="1" applyAlignment="1">
      <alignment horizontal="center"/>
    </xf>
    <xf numFmtId="0" fontId="17" fillId="7" borderId="0" xfId="2" applyNumberFormat="1" applyFont="1" applyFill="1" applyAlignment="1">
      <alignment horizontal="center"/>
    </xf>
    <xf numFmtId="0" fontId="0" fillId="0" borderId="0" xfId="1" applyNumberFormat="1" applyFont="1" applyFill="1" applyAlignment="1">
      <alignment horizontal="center"/>
    </xf>
    <xf numFmtId="164" fontId="0" fillId="0" borderId="0" xfId="1" applyNumberFormat="1" applyFont="1" applyFill="1" applyAlignment="1">
      <alignment horizontal="center"/>
    </xf>
    <xf numFmtId="165" fontId="0" fillId="0" borderId="0" xfId="1" applyNumberFormat="1" applyFont="1" applyFill="1" applyAlignment="1">
      <alignment horizontal="center"/>
    </xf>
    <xf numFmtId="0" fontId="17" fillId="0" borderId="0" xfId="2" applyNumberFormat="1" applyFont="1" applyFill="1" applyAlignment="1">
      <alignment horizontal="center"/>
    </xf>
    <xf numFmtId="166" fontId="0" fillId="0" borderId="0" xfId="1" applyNumberFormat="1" applyFont="1" applyFill="1" applyAlignment="1">
      <alignment horizontal="center"/>
    </xf>
    <xf numFmtId="1" fontId="0" fillId="0" borderId="0" xfId="1" applyNumberFormat="1" applyFont="1" applyFill="1" applyAlignment="1">
      <alignment horizontal="center"/>
    </xf>
    <xf numFmtId="166" fontId="0" fillId="7" borderId="0" xfId="1" applyNumberFormat="1" applyFont="1" applyFill="1" applyAlignment="1">
      <alignment horizontal="center"/>
    </xf>
    <xf numFmtId="9" fontId="0" fillId="0" borderId="0" xfId="1" applyFont="1" applyFill="1" applyAlignment="1">
      <alignment horizontal="center"/>
    </xf>
    <xf numFmtId="0" fontId="5" fillId="3" borderId="3" xfId="0" applyFont="1" applyFill="1" applyBorder="1" applyAlignment="1">
      <alignment horizontal="center" vertical="center" wrapText="1"/>
    </xf>
    <xf numFmtId="0" fontId="5" fillId="3" borderId="1" xfId="0" applyFont="1" applyFill="1" applyBorder="1" applyAlignment="1">
      <alignment horizontal="center" vertical="center" wrapText="1"/>
    </xf>
    <xf numFmtId="9" fontId="0" fillId="0" borderId="0" xfId="1" applyFont="1" applyFill="1" applyBorder="1" applyAlignment="1">
      <alignment horizontal="center"/>
    </xf>
    <xf numFmtId="1" fontId="0" fillId="7" borderId="0" xfId="1" applyNumberFormat="1" applyFont="1" applyFill="1" applyBorder="1" applyAlignment="1">
      <alignment horizontal="center"/>
    </xf>
    <xf numFmtId="1" fontId="0" fillId="7" borderId="0" xfId="1" applyNumberFormat="1" applyFont="1" applyFill="1" applyAlignment="1">
      <alignment horizontal="center"/>
    </xf>
    <xf numFmtId="1" fontId="0" fillId="7" borderId="0" xfId="11" applyNumberFormat="1" applyFont="1" applyFill="1" applyBorder="1" applyAlignment="1">
      <alignment horizontal="center"/>
    </xf>
    <xf numFmtId="1" fontId="0" fillId="7" borderId="0" xfId="11" applyNumberFormat="1" applyFont="1" applyFill="1" applyAlignment="1">
      <alignment horizontal="center"/>
    </xf>
    <xf numFmtId="0" fontId="4" fillId="0" borderId="0" xfId="12" applyFont="1"/>
    <xf numFmtId="0" fontId="17" fillId="7" borderId="0" xfId="12" applyFont="1" applyFill="1"/>
    <xf numFmtId="0" fontId="4" fillId="7" borderId="0" xfId="12" applyFont="1" applyFill="1"/>
    <xf numFmtId="2" fontId="0" fillId="0" borderId="0" xfId="0" applyNumberFormat="1"/>
    <xf numFmtId="0" fontId="17" fillId="4" borderId="0" xfId="12" applyFont="1" applyFill="1" applyAlignment="1">
      <alignment vertical="center"/>
    </xf>
    <xf numFmtId="9" fontId="17" fillId="4" borderId="0" xfId="13" applyFont="1" applyFill="1" applyBorder="1" applyAlignment="1">
      <alignment vertical="center"/>
    </xf>
    <xf numFmtId="9" fontId="25" fillId="4" borderId="0" xfId="13" applyFont="1" applyFill="1" applyBorder="1" applyAlignment="1">
      <alignment horizontal="left" vertical="center"/>
    </xf>
    <xf numFmtId="0" fontId="17" fillId="4" borderId="0" xfId="13" applyNumberFormat="1" applyFont="1" applyFill="1" applyBorder="1" applyAlignment="1">
      <alignment horizontal="center" vertical="center"/>
    </xf>
    <xf numFmtId="167" fontId="25" fillId="4" borderId="0" xfId="14" applyNumberFormat="1" applyFont="1" applyFill="1" applyBorder="1" applyAlignment="1">
      <alignment vertical="center"/>
    </xf>
    <xf numFmtId="168" fontId="24" fillId="4" borderId="0" xfId="14" applyNumberFormat="1" applyFont="1" applyFill="1" applyBorder="1" applyAlignment="1">
      <alignment vertical="center"/>
    </xf>
    <xf numFmtId="9" fontId="17" fillId="4" borderId="0" xfId="13" applyFont="1" applyFill="1" applyBorder="1" applyAlignment="1">
      <alignment horizontal="center" vertical="center"/>
    </xf>
    <xf numFmtId="167" fontId="17" fillId="4" borderId="0" xfId="14" applyNumberFormat="1" applyFont="1" applyFill="1" applyBorder="1" applyAlignment="1">
      <alignment vertical="center"/>
    </xf>
    <xf numFmtId="1" fontId="17" fillId="4" borderId="0" xfId="13" applyNumberFormat="1" applyFont="1" applyFill="1" applyBorder="1" applyAlignment="1">
      <alignment horizontal="center" vertical="center"/>
    </xf>
    <xf numFmtId="0" fontId="17" fillId="4" borderId="0" xfId="12" applyFont="1" applyFill="1"/>
    <xf numFmtId="167" fontId="17" fillId="4" borderId="0" xfId="12" applyNumberFormat="1" applyFont="1" applyFill="1"/>
    <xf numFmtId="0" fontId="25" fillId="4" borderId="0" xfId="12" applyFont="1" applyFill="1"/>
    <xf numFmtId="0" fontId="26" fillId="4" borderId="0" xfId="12" applyFont="1" applyFill="1"/>
    <xf numFmtId="9" fontId="17" fillId="4" borderId="0" xfId="13" applyFont="1" applyFill="1" applyBorder="1"/>
    <xf numFmtId="1" fontId="0" fillId="0" borderId="0" xfId="0" applyNumberFormat="1" applyAlignment="1">
      <alignment horizontal="left"/>
    </xf>
    <xf numFmtId="1" fontId="0" fillId="7" borderId="0" xfId="11" applyNumberFormat="1" applyFont="1" applyFill="1" applyBorder="1" applyAlignment="1">
      <alignment horizontal="center" vertical="center"/>
    </xf>
    <xf numFmtId="1" fontId="0" fillId="7" borderId="0" xfId="11" applyNumberFormat="1" applyFont="1" applyFill="1" applyAlignment="1">
      <alignment horizontal="center" vertical="center"/>
    </xf>
    <xf numFmtId="9" fontId="0" fillId="7" borderId="0" xfId="1" applyFont="1" applyFill="1" applyBorder="1" applyAlignment="1">
      <alignment horizontal="center" vertical="center"/>
    </xf>
    <xf numFmtId="9" fontId="0" fillId="7" borderId="0" xfId="1" applyFont="1" applyFill="1" applyAlignment="1">
      <alignment horizontal="center" vertical="center"/>
    </xf>
    <xf numFmtId="166" fontId="0" fillId="0" borderId="0" xfId="0" applyNumberFormat="1" applyAlignment="1">
      <alignment horizontal="left"/>
    </xf>
    <xf numFmtId="0" fontId="5" fillId="3" borderId="0" xfId="0" applyFont="1" applyFill="1" applyAlignment="1">
      <alignment horizontal="center" vertical="center" wrapText="1"/>
    </xf>
    <xf numFmtId="0" fontId="4" fillId="0" borderId="0" xfId="0" applyFont="1" applyAlignment="1">
      <alignment horizontal="right"/>
    </xf>
    <xf numFmtId="0" fontId="4" fillId="0" borderId="0" xfId="0" applyFont="1" applyAlignment="1">
      <alignment horizontal="left"/>
    </xf>
    <xf numFmtId="0" fontId="4" fillId="0" borderId="0" xfId="0" applyFont="1"/>
    <xf numFmtId="0" fontId="7" fillId="0" borderId="0" xfId="0" applyFont="1" applyAlignment="1">
      <alignment horizontal="right"/>
    </xf>
    <xf numFmtId="9" fontId="37" fillId="5" borderId="0" xfId="1" applyFont="1" applyFill="1" applyBorder="1" applyAlignment="1">
      <alignment horizontal="right" vertical="center" wrapText="1"/>
    </xf>
    <xf numFmtId="9" fontId="37" fillId="5" borderId="7" xfId="1" applyFont="1" applyFill="1" applyBorder="1" applyAlignment="1">
      <alignment horizontal="right" vertical="center" wrapText="1"/>
    </xf>
    <xf numFmtId="9" fontId="37" fillId="5" borderId="5" xfId="1" applyFont="1" applyFill="1" applyBorder="1" applyAlignment="1">
      <alignment horizontal="right" vertical="center" wrapText="1"/>
    </xf>
    <xf numFmtId="9" fontId="37" fillId="5" borderId="6" xfId="1" applyFont="1" applyFill="1" applyBorder="1" applyAlignment="1">
      <alignment horizontal="right" vertical="center" wrapText="1"/>
    </xf>
    <xf numFmtId="0" fontId="29" fillId="2" borderId="0" xfId="12" applyFont="1" applyFill="1" applyAlignment="1">
      <alignment horizontal="center" vertical="center" wrapText="1"/>
    </xf>
    <xf numFmtId="0" fontId="27" fillId="8" borderId="4" xfId="12" applyFont="1" applyFill="1" applyBorder="1" applyAlignment="1">
      <alignment horizontal="center" vertical="center" wrapText="1"/>
    </xf>
    <xf numFmtId="0" fontId="33" fillId="5" borderId="8" xfId="12" applyFont="1" applyFill="1" applyBorder="1" applyAlignment="1">
      <alignment horizontal="center" vertical="center" wrapText="1"/>
    </xf>
    <xf numFmtId="0" fontId="33" fillId="5" borderId="9" xfId="12" applyFont="1" applyFill="1" applyBorder="1" applyAlignment="1">
      <alignment horizontal="center" vertical="center" wrapText="1"/>
    </xf>
    <xf numFmtId="0" fontId="33" fillId="5" borderId="0" xfId="12" applyFont="1" applyFill="1" applyAlignment="1">
      <alignment horizontal="center" vertical="center" wrapText="1"/>
    </xf>
    <xf numFmtId="0" fontId="33" fillId="5" borderId="7" xfId="12" applyFont="1" applyFill="1" applyBorder="1" applyAlignment="1">
      <alignment horizontal="center" vertical="center" wrapText="1"/>
    </xf>
    <xf numFmtId="167" fontId="32" fillId="5" borderId="0" xfId="11" applyNumberFormat="1" applyFont="1" applyFill="1" applyBorder="1" applyAlignment="1">
      <alignment horizontal="right" vertical="center" wrapText="1"/>
    </xf>
    <xf numFmtId="167" fontId="32" fillId="5" borderId="7" xfId="11" applyNumberFormat="1" applyFont="1" applyFill="1" applyBorder="1" applyAlignment="1">
      <alignment horizontal="right" vertical="center" wrapText="1"/>
    </xf>
    <xf numFmtId="167" fontId="32" fillId="5" borderId="5" xfId="11" applyNumberFormat="1" applyFont="1" applyFill="1" applyBorder="1" applyAlignment="1">
      <alignment horizontal="right" vertical="center" wrapText="1"/>
    </xf>
    <xf numFmtId="167" fontId="32" fillId="5" borderId="6" xfId="11" applyNumberFormat="1" applyFont="1" applyFill="1" applyBorder="1" applyAlignment="1">
      <alignment horizontal="right" vertical="center" wrapText="1"/>
    </xf>
    <xf numFmtId="0" fontId="34" fillId="5" borderId="0" xfId="12" applyFont="1" applyFill="1" applyAlignment="1">
      <alignment horizontal="center" vertical="center" wrapText="1"/>
    </xf>
    <xf numFmtId="0" fontId="34" fillId="5" borderId="7" xfId="12" applyFont="1" applyFill="1" applyBorder="1" applyAlignment="1">
      <alignment horizontal="center" vertical="center" wrapText="1"/>
    </xf>
    <xf numFmtId="167" fontId="31" fillId="5" borderId="0" xfId="11" applyNumberFormat="1" applyFont="1" applyFill="1" applyBorder="1" applyAlignment="1">
      <alignment horizontal="right" vertical="center" wrapText="1"/>
    </xf>
    <xf numFmtId="167" fontId="31" fillId="5" borderId="7" xfId="11" applyNumberFormat="1" applyFont="1" applyFill="1" applyBorder="1" applyAlignment="1">
      <alignment horizontal="right" vertical="center" wrapText="1"/>
    </xf>
    <xf numFmtId="167" fontId="31" fillId="5" borderId="5" xfId="11" applyNumberFormat="1" applyFont="1" applyFill="1" applyBorder="1" applyAlignment="1">
      <alignment horizontal="right" vertical="center" wrapText="1"/>
    </xf>
    <xf numFmtId="167" fontId="31" fillId="5" borderId="6" xfId="11" applyNumberFormat="1" applyFont="1" applyFill="1" applyBorder="1" applyAlignment="1">
      <alignment horizontal="right" vertical="center" wrapText="1"/>
    </xf>
    <xf numFmtId="0" fontId="35" fillId="5" borderId="0" xfId="12" applyFont="1" applyFill="1" applyAlignment="1">
      <alignment horizontal="center" vertical="center" wrapText="1"/>
    </xf>
    <xf numFmtId="0" fontId="35" fillId="5" borderId="7" xfId="12" applyFont="1" applyFill="1" applyBorder="1" applyAlignment="1">
      <alignment horizontal="center" vertical="center" wrapText="1"/>
    </xf>
    <xf numFmtId="167" fontId="30" fillId="5" borderId="0" xfId="11" applyNumberFormat="1" applyFont="1" applyFill="1" applyBorder="1" applyAlignment="1">
      <alignment horizontal="right" vertical="center" wrapText="1"/>
    </xf>
    <xf numFmtId="167" fontId="30" fillId="5" borderId="7" xfId="11" applyNumberFormat="1" applyFont="1" applyFill="1" applyBorder="1" applyAlignment="1">
      <alignment horizontal="right" vertical="center" wrapText="1"/>
    </xf>
    <xf numFmtId="167" fontId="30" fillId="5" borderId="5" xfId="11" applyNumberFormat="1" applyFont="1" applyFill="1" applyBorder="1" applyAlignment="1">
      <alignment horizontal="right" vertical="center" wrapText="1"/>
    </xf>
    <xf numFmtId="167" fontId="30" fillId="5" borderId="6" xfId="11" applyNumberFormat="1" applyFont="1" applyFill="1" applyBorder="1" applyAlignment="1">
      <alignment horizontal="right" vertical="center" wrapText="1"/>
    </xf>
    <xf numFmtId="0" fontId="36" fillId="4" borderId="0" xfId="12" applyFont="1" applyFill="1" applyAlignment="1">
      <alignment horizontal="center"/>
    </xf>
    <xf numFmtId="0" fontId="38" fillId="4" borderId="0" xfId="12" applyFont="1" applyFill="1" applyAlignment="1">
      <alignment horizontal="center" vertical="center"/>
    </xf>
  </cellXfs>
  <cellStyles count="16">
    <cellStyle name="Comma" xfId="11" builtinId="3"/>
    <cellStyle name="Comma 2" xfId="7" xr:uid="{70B95B68-42E5-4134-B60C-D53D63EA8C64}"/>
    <cellStyle name="Comma 3" xfId="10" xr:uid="{E6060E65-816D-42A3-BC2B-BC7AE08DF09F}"/>
    <cellStyle name="Comma 4" xfId="14" xr:uid="{235263EF-1F30-4937-968E-5172014025F4}"/>
    <cellStyle name="Hyperlink" xfId="2" builtinId="8"/>
    <cellStyle name="Normal" xfId="0" builtinId="0"/>
    <cellStyle name="Normal 2" xfId="3" xr:uid="{630AB955-5629-4F25-81F3-D0850CCA2D8B}"/>
    <cellStyle name="Normal 2 2" xfId="4" xr:uid="{BBC0A887-27F1-430C-A62B-8FDD810F3453}"/>
    <cellStyle name="Normal 3" xfId="5" xr:uid="{19553023-A532-4B21-B780-2F68384C80B9}"/>
    <cellStyle name="Normal 4" xfId="8" xr:uid="{9C62A56D-8BFB-43DA-B794-93EBCA984803}"/>
    <cellStyle name="Normal 5" xfId="12" xr:uid="{4EA97ECC-F47A-4B9A-BCC8-74B162C3A7B9}"/>
    <cellStyle name="Percent" xfId="1" builtinId="5"/>
    <cellStyle name="Percent 2" xfId="6" xr:uid="{1D541CDC-ACE8-4B54-AB6D-F143BBC82663}"/>
    <cellStyle name="Percent 3" xfId="9" xr:uid="{C04F5020-2218-4635-A7A5-19093E1C865B}"/>
    <cellStyle name="Percent 4" xfId="13" xr:uid="{FE81F9E0-E156-4894-87F0-3F92EBCA1E96}"/>
    <cellStyle name="Style 1" xfId="15" xr:uid="{03DAF5F7-5197-46F7-8B5A-5253245552C3}"/>
  </cellStyles>
  <dxfs count="92">
    <dxf>
      <numFmt numFmtId="166" formatCode="[$-409]d\-mmm\-yy;@"/>
      <fill>
        <patternFill patternType="none">
          <fgColor rgb="FF000000"/>
          <bgColor auto="1"/>
        </patternFill>
      </fill>
      <alignment horizontal="center" vertical="bottom" textRotation="0" wrapText="0" indent="0" justifyLastLine="0" shrinkToFit="0" readingOrder="0"/>
    </dxf>
    <dxf>
      <numFmt numFmtId="0" formatCode="General"/>
      <fill>
        <patternFill patternType="none">
          <fgColor rgb="FF000000"/>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5" formatCode="0.0"/>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6" formatCode="[$-409]d\-mmm\-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5" formatCode="0.0"/>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6" formatCode="[$-409]d\-mmm\-yy;@"/>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6" formatCode="[$-409]d\-mmm\-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4" formatCode="&quot;$&quot;#,##0"/>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theme="1"/>
        <name val="Arial"/>
        <family val="2"/>
        <scheme val="none"/>
      </font>
      <numFmt numFmtId="166" formatCode="[$-409]d\-mmm\-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font>
        <u val="none"/>
        <color auto="1"/>
      </font>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3" formatCode="0%"/>
      <fill>
        <patternFill patternType="solid">
          <fgColor indexed="64"/>
          <bgColor theme="0" tint="-0.14999847407452621"/>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 formatCode="0"/>
      <fill>
        <patternFill patternType="solid">
          <fgColor indexed="64"/>
          <bgColor theme="0" tint="-0.14999847407452621"/>
        </patternFill>
      </fill>
      <alignment horizontal="center" vertical="center"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1" formatCode="0"/>
      <fill>
        <patternFill patternType="solid">
          <fgColor indexed="64"/>
          <bgColor theme="0" tint="-0.14999847407452621"/>
        </patternFill>
      </fill>
      <alignment horizontal="center" vertical="bottom" textRotation="0" wrapText="0" indent="0" justifyLastLine="0" shrinkToFit="0" readingOrder="0"/>
    </dxf>
    <dxf>
      <numFmt numFmtId="0" formatCode="General"/>
      <fill>
        <patternFill patternType="solid">
          <fgColor indexed="64"/>
          <bgColor theme="0" tint="-0.14999847407452621"/>
        </patternFill>
      </fill>
      <alignment horizontal="center" vertical="bottom" textRotation="0" wrapText="0" indent="0" justifyLastLine="0" shrinkToFit="0" readingOrder="0"/>
    </dxf>
    <dxf>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numFmt numFmtId="166" formatCode="[$-409]d\-mmm\-yy;@"/>
      <fill>
        <patternFill patternType="none">
          <fgColor indexed="64"/>
          <bgColor indexed="65"/>
        </patternFill>
      </fill>
      <alignment horizontal="left" vertical="bottom" textRotation="0" wrapText="0" indent="0" justifyLastLine="0" shrinkToFit="0" readingOrder="0"/>
    </dxf>
    <dxf>
      <numFmt numFmtId="166" formatCode="[$-409]d\-mmm\-yy;@"/>
      <fill>
        <patternFill patternType="none">
          <fgColor indexed="64"/>
          <bgColor auto="1"/>
        </patternFill>
      </fill>
      <alignment horizontal="center" vertical="bottom" textRotation="0" wrapText="0" indent="0" justifyLastLine="0" shrinkToFit="0" readingOrder="0"/>
    </dxf>
    <dxf>
      <border outline="0">
        <left style="thin">
          <color rgb="FFA6A6A6"/>
        </left>
        <right style="thin">
          <color rgb="FFA6A6A6"/>
        </right>
        <top style="thin">
          <color rgb="FFA6A6A6"/>
        </top>
        <bottom style="thin">
          <color rgb="FFA6A6A6"/>
        </bottom>
      </border>
    </dxf>
    <dxf>
      <numFmt numFmtId="0" formatCode="General"/>
      <fill>
        <patternFill patternType="none">
          <fgColor rgb="FF000000"/>
          <bgColor auto="1"/>
        </patternFill>
      </fill>
      <alignment horizontal="center" vertical="bottom" textRotation="0" wrapText="0" indent="0" justifyLastLine="0" shrinkToFit="0" readingOrder="0"/>
    </dxf>
    <dxf>
      <border outline="0">
        <bottom style="medium">
          <color rgb="FFD9D9D9"/>
        </bottom>
      </border>
    </dxf>
    <dxf>
      <font>
        <b/>
        <i val="0"/>
        <strike val="0"/>
        <condense val="0"/>
        <extend val="0"/>
        <outline val="0"/>
        <shadow val="0"/>
        <u val="none"/>
        <vertAlign val="baseline"/>
        <sz val="10"/>
        <color theme="0"/>
        <name val="Arial"/>
        <family val="2"/>
        <scheme val="none"/>
      </font>
      <fill>
        <patternFill patternType="solid">
          <fgColor indexed="64"/>
          <bgColor rgb="FF8A0000"/>
        </patternFill>
      </fill>
      <alignment horizontal="center" vertical="center" textRotation="0" wrapText="1" indent="0" justifyLastLine="0" shrinkToFit="0" readingOrder="0"/>
    </dxf>
    <dxf>
      <font>
        <color rgb="FF9C0006"/>
      </font>
      <fill>
        <patternFill>
          <bgColor rgb="FFFFC7CE"/>
        </patternFill>
      </fill>
    </dxf>
    <dxf>
      <font>
        <color rgb="FF9C5700"/>
      </font>
      <fill>
        <patternFill>
          <bgColor rgb="FFFFEB9C"/>
        </patternFill>
      </fill>
    </dxf>
    <dxf>
      <font>
        <b val="0"/>
        <i val="0"/>
        <strike val="0"/>
        <condense val="0"/>
        <extend val="0"/>
        <outline val="0"/>
        <shadow val="0"/>
        <u val="none"/>
        <vertAlign val="baseline"/>
        <sz val="10"/>
        <color theme="1"/>
        <name val="Arial"/>
        <family val="2"/>
        <scheme val="none"/>
      </font>
      <numFmt numFmtId="165"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5" formatCode="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4" formatCode="&quot;$&quot;#,##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4" formatCode="&quot;$&quot;#,##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4" formatCode="&quot;$&quot;#,##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0"/>
        <color theme="1"/>
        <name val="Arial"/>
        <family val="2"/>
        <scheme val="none"/>
      </font>
      <numFmt numFmtId="164" formatCode="&quot;$&quot;#,##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numFmt numFmtId="165" formatCode="0.0"/>
      <fill>
        <patternFill patternType="none">
          <fgColor indexed="64"/>
          <bgColor indexed="65"/>
        </patternFill>
      </fill>
      <alignment horizontal="center" vertical="bottom" textRotation="0" wrapText="0" indent="0" justifyLastLine="0" shrinkToFit="0" readingOrder="0"/>
    </dxf>
    <dxf>
      <numFmt numFmtId="165" formatCode="0.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1" formatCode="0"/>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167" formatCode="_(* #,##0_);_(* \(#,##0\);_(* &quot;-&quot;??_);_(@_)"/>
      <fill>
        <patternFill patternType="solid">
          <fgColor indexed="64"/>
          <bgColor theme="0" tint="-0.14999847407452621"/>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auto="1"/>
        </patternFill>
      </fill>
      <alignment horizontal="center" vertical="bottom" textRotation="0" wrapText="0" indent="0" justifyLastLine="0" shrinkToFit="0" readingOrder="0"/>
    </dxf>
    <dxf>
      <numFmt numFmtId="166" formatCode="[$-409]d\-mmm\-yy;@"/>
      <fill>
        <patternFill patternType="none">
          <fgColor indexed="64"/>
          <bgColor indexed="65"/>
        </patternFill>
      </fill>
      <alignment horizontal="center" vertical="bottom" textRotation="0" wrapText="0" indent="0" justifyLastLine="0" shrinkToFit="0" readingOrder="0"/>
    </dxf>
    <dxf>
      <numFmt numFmtId="166" formatCode="[$-409]d\-mmm\-yy;@"/>
      <fill>
        <patternFill patternType="none">
          <fgColor indexed="64"/>
          <bgColor auto="1"/>
        </patternFill>
      </fill>
      <alignment horizontal="center" vertical="bottom" textRotation="0" wrapText="0" indent="0" justifyLastLine="0" shrinkToFit="0" readingOrder="0"/>
    </dxf>
    <dxf>
      <border outline="0">
        <left style="thin">
          <color theme="0" tint="-0.34998626667073579"/>
        </left>
        <right style="thin">
          <color theme="0" tint="-0.34998626667073579"/>
        </right>
        <top style="thin">
          <color theme="0" tint="-0.34998626667073579"/>
        </top>
        <bottom style="thin">
          <color theme="0" tint="-0.34998626667073579"/>
        </bottom>
      </border>
    </dxf>
    <dxf>
      <numFmt numFmtId="0" formatCode="General"/>
      <fill>
        <patternFill patternType="none">
          <fgColor indexed="64"/>
          <bgColor auto="1"/>
        </patternFill>
      </fill>
      <alignment horizontal="center" vertical="bottom" textRotation="0" wrapText="0" indent="0" justifyLastLine="0" shrinkToFit="0" readingOrder="0"/>
    </dxf>
    <dxf>
      <border outline="0">
        <bottom style="medium">
          <color theme="0" tint="-0.14996795556505021"/>
        </bottom>
      </border>
    </dxf>
    <dxf>
      <font>
        <b/>
        <i val="0"/>
        <strike val="0"/>
        <condense val="0"/>
        <extend val="0"/>
        <outline val="0"/>
        <shadow val="0"/>
        <u val="none"/>
        <vertAlign val="baseline"/>
        <sz val="10"/>
        <color theme="0"/>
        <name val="Arial"/>
        <family val="2"/>
        <scheme val="none"/>
      </font>
      <fill>
        <patternFill patternType="solid">
          <fgColor indexed="64"/>
          <bgColor rgb="FF50B47F"/>
        </patternFill>
      </fill>
      <alignment horizontal="center" vertical="center" textRotation="0" wrapText="1" indent="0" justifyLastLine="0" shrinkToFit="0" readingOrder="0"/>
    </dxf>
    <dxf>
      <font>
        <b/>
        <i val="0"/>
        <color rgb="FFC00000"/>
      </font>
    </dxf>
    <dxf>
      <font>
        <b/>
        <i val="0"/>
        <color rgb="FFC00000"/>
      </font>
    </dxf>
    <dxf>
      <font>
        <b/>
        <i val="0"/>
        <color rgb="FFC00000"/>
      </font>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rgb="FFC00000"/>
        </patternFill>
      </fill>
    </dxf>
    <dxf>
      <numFmt numFmtId="13" formatCode="0%"/>
    </dxf>
    <dxf>
      <numFmt numFmtId="13" formatCode="0%"/>
    </dxf>
    <dxf>
      <numFmt numFmtId="13" formatCode="0%"/>
    </dxf>
    <dxf>
      <numFmt numFmtId="2" formatCode="0.00"/>
    </dxf>
    <dxf>
      <numFmt numFmtId="0" formatCode="General"/>
    </dxf>
    <dxf>
      <numFmt numFmtId="13" formatCode="0%"/>
    </dxf>
    <dxf>
      <font>
        <b/>
        <sz val="11"/>
        <color theme="1"/>
      </font>
    </dxf>
    <dxf>
      <fill>
        <patternFill patternType="solid">
          <fgColor theme="0"/>
          <bgColor theme="0"/>
        </patternFill>
      </fil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
      <fill>
        <patternFill>
          <bgColor rgb="FF8FCFAD"/>
        </patternFill>
      </fill>
    </dxf>
    <dxf>
      <fill>
        <patternFill>
          <bgColor rgb="FF8FCFAD"/>
        </patternFill>
      </fill>
    </dxf>
    <dxf>
      <font>
        <color auto="1"/>
      </font>
      <fill>
        <patternFill>
          <bgColor rgb="FF8FCFAD"/>
        </patternFill>
      </fill>
    </dxf>
    <dxf>
      <fill>
        <patternFill>
          <bgColor rgb="FF8FCFAD"/>
        </patternFill>
      </fill>
    </dxf>
    <dxf>
      <fill>
        <patternFill>
          <bgColor rgb="FF8FCFAD"/>
        </patternFill>
      </fill>
    </dxf>
  </dxfs>
  <tableStyles count="4" defaultTableStyle="TableStyleMedium2" defaultPivotStyle="PivotStyleLight16">
    <tableStyle name="Invisible" pivot="0" table="0" count="0" xr9:uid="{707886B7-87AC-4607-A566-D160B43F89D9}"/>
    <tableStyle name="PivotTable Style 1" table="0" count="5" xr9:uid="{3831004B-067D-418F-BD50-A3986E0D4865}">
      <tableStyleElement type="headerRow" dxfId="91"/>
      <tableStyleElement type="totalRow" dxfId="90"/>
      <tableStyleElement type="lastColumn" dxfId="89"/>
      <tableStyleElement type="pageFieldLabels" dxfId="88"/>
      <tableStyleElement type="pageFieldValues" dxfId="87"/>
    </tableStyle>
    <tableStyle name="Slicer Style 1" pivot="0" table="0" count="8" xr9:uid="{6B0103B1-AE5E-4E9B-A35E-CDD51150C899}">
      <tableStyleElement type="wholeTable" dxfId="86"/>
    </tableStyle>
    <tableStyle name="Timeline Style 1" pivot="0" table="0" count="8" xr9:uid="{E7FBEFCC-9E91-45D6-9FD4-D3137AAC2CB6}">
      <tableStyleElement type="wholeTable" dxfId="85"/>
      <tableStyleElement type="headerRow" dxfId="84"/>
    </tableStyle>
  </tableStyles>
  <colors>
    <mruColors>
      <color rgb="FF8A0000"/>
      <color rgb="FF50B47F"/>
      <color rgb="FFF2A672"/>
      <color rgb="FFFF9797"/>
      <color rgb="FF8FCFAD"/>
      <color rgb="FFFFF5D9"/>
      <color rgb="FFAA9722"/>
    </mruColors>
  </colors>
  <extLst>
    <ext xmlns:x14="http://schemas.microsoft.com/office/spreadsheetml/2009/9/main" uri="{46F421CA-312F-682f-3DD2-61675219B42D}">
      <x14:dxfs count="7">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rgb="FF8FCFAD"/>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1/relationships/timelineCache" Target="timelineCaches/timelineCach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19" Type="http://schemas.openxmlformats.org/officeDocument/2006/relationships/customXml" Target="../customXml/item3.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1125331</c:v>
              </c:pt>
              <c:pt idx="1">
                <c:v>491962</c:v>
              </c:pt>
              <c:pt idx="2">
                <c:v>412408</c:v>
              </c:pt>
              <c:pt idx="3">
                <c:v>727148</c:v>
              </c:pt>
              <c:pt idx="4">
                <c:v>565222</c:v>
              </c:pt>
              <c:pt idx="5">
                <c:v>498223</c:v>
              </c:pt>
              <c:pt idx="6">
                <c:v>318931</c:v>
              </c:pt>
              <c:pt idx="7">
                <c:v>290799</c:v>
              </c:pt>
              <c:pt idx="8">
                <c:v>773692</c:v>
              </c:pt>
              <c:pt idx="9">
                <c:v>262908</c:v>
              </c:pt>
              <c:pt idx="10">
                <c:v>486411</c:v>
              </c:pt>
              <c:pt idx="11">
                <c:v>317646</c:v>
              </c:pt>
            </c:numLit>
          </c:val>
          <c:smooth val="0"/>
          <c:extLst>
            <c:ext xmlns:c16="http://schemas.microsoft.com/office/drawing/2014/chart" uri="{C3380CC4-5D6E-409C-BE32-E72D297353CC}">
              <c16:uniqueId val="{00000000-0605-4701-B64D-EE0875559DBC}"/>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518984464"/>
        <c:axId val="1507761312"/>
      </c:lineChart>
      <c:catAx>
        <c:axId val="151898446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07761312"/>
        <c:crosses val="autoZero"/>
        <c:auto val="1"/>
        <c:lblAlgn val="ctr"/>
        <c:lblOffset val="100"/>
        <c:noMultiLvlLbl val="0"/>
      </c:catAx>
      <c:valAx>
        <c:axId val="15077613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518984464"/>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 Business Health Tracker.xlsm]Sheet1!cases_trend</c:name>
    <c:fmtId val="2"/>
  </c:pivotSource>
  <c:chart>
    <c:title>
      <c:tx>
        <c:rich>
          <a:bodyPr rot="0" spcFirstLastPara="1" vertOverflow="ellipsis" vert="horz" wrap="square" anchor="ctr" anchorCtr="1"/>
          <a:lstStyle/>
          <a:p>
            <a:pPr>
              <a:defRPr sz="1600" b="0" i="0" u="none" strike="noStrike" kern="1200" spc="0" baseline="0">
                <a:solidFill>
                  <a:schemeClr val="bg1">
                    <a:lumMod val="50000"/>
                  </a:schemeClr>
                </a:solidFill>
                <a:latin typeface="Arial" panose="020B0604020202020204" pitchFamily="34" charset="0"/>
                <a:ea typeface="+mn-ea"/>
                <a:cs typeface="Arial" panose="020B0604020202020204" pitchFamily="34" charset="0"/>
              </a:defRPr>
            </a:pPr>
            <a:r>
              <a:rPr lang="en-US" sz="1600">
                <a:solidFill>
                  <a:schemeClr val="bg1">
                    <a:lumMod val="50000"/>
                  </a:schemeClr>
                </a:solidFill>
                <a:latin typeface="Arial" panose="020B0604020202020204" pitchFamily="34" charset="0"/>
                <a:cs typeface="Arial" panose="020B0604020202020204" pitchFamily="34" charset="0"/>
              </a:rPr>
              <a:t>Confirmed And Suspected Cases Timeline</a:t>
            </a:r>
          </a:p>
        </c:rich>
      </c:tx>
      <c:layout>
        <c:manualLayout>
          <c:xMode val="edge"/>
          <c:yMode val="edge"/>
          <c:x val="0.15532467208525697"/>
          <c:y val="9.7782350979449071E-3"/>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bg1">
                  <a:lumMod val="50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lumMod val="40000"/>
              <a:lumOff val="60000"/>
            </a:schemeClr>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702935742425512E-2"/>
          <c:y val="0.13875836555939297"/>
          <c:w val="0.92526173661243283"/>
          <c:h val="0.56455461130924456"/>
        </c:manualLayout>
      </c:layout>
      <c:barChart>
        <c:barDir val="col"/>
        <c:grouping val="clustered"/>
        <c:varyColors val="0"/>
        <c:ser>
          <c:idx val="0"/>
          <c:order val="0"/>
          <c:tx>
            <c:strRef>
              <c:f>Sheet1!$AB$3:$AB$4</c:f>
              <c:strCache>
                <c:ptCount val="1"/>
                <c:pt idx="0">
                  <c:v>Confirmed</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Sheet1!$AA$5:$AA$43</c:f>
              <c:strCache>
                <c:ptCount val="38"/>
                <c:pt idx="0">
                  <c:v>10-May-20</c:v>
                </c:pt>
                <c:pt idx="1">
                  <c:v>7-Aug-20</c:v>
                </c:pt>
                <c:pt idx="2">
                  <c:v>1-Apr-20</c:v>
                </c:pt>
                <c:pt idx="3">
                  <c:v>10-Mar-20</c:v>
                </c:pt>
                <c:pt idx="4">
                  <c:v>24-Mar-20</c:v>
                </c:pt>
                <c:pt idx="5">
                  <c:v>9-Apr-20</c:v>
                </c:pt>
                <c:pt idx="6">
                  <c:v>6-Apr-20</c:v>
                </c:pt>
                <c:pt idx="7">
                  <c:v>14-Oct-20</c:v>
                </c:pt>
                <c:pt idx="8">
                  <c:v>9-Jul-20</c:v>
                </c:pt>
                <c:pt idx="9">
                  <c:v>27-Jun-20</c:v>
                </c:pt>
                <c:pt idx="10">
                  <c:v>12-Aug-20</c:v>
                </c:pt>
                <c:pt idx="11">
                  <c:v>18-Apr-20</c:v>
                </c:pt>
                <c:pt idx="12">
                  <c:v>27-Oct-20</c:v>
                </c:pt>
                <c:pt idx="13">
                  <c:v>15-Aug-20</c:v>
                </c:pt>
                <c:pt idx="14">
                  <c:v>30-Oct-20</c:v>
                </c:pt>
                <c:pt idx="15">
                  <c:v>16-Feb-20</c:v>
                </c:pt>
                <c:pt idx="16">
                  <c:v>18-Jun-20</c:v>
                </c:pt>
                <c:pt idx="17">
                  <c:v>18-Mar-20</c:v>
                </c:pt>
                <c:pt idx="18">
                  <c:v>5-Sep-20</c:v>
                </c:pt>
                <c:pt idx="19">
                  <c:v>12-Dec-20</c:v>
                </c:pt>
                <c:pt idx="20">
                  <c:v>2-Aug-20</c:v>
                </c:pt>
                <c:pt idx="21">
                  <c:v>20-Apr-20</c:v>
                </c:pt>
                <c:pt idx="22">
                  <c:v>11-Aug-20</c:v>
                </c:pt>
                <c:pt idx="23">
                  <c:v>11-Oct-20</c:v>
                </c:pt>
                <c:pt idx="24">
                  <c:v>5-May-20</c:v>
                </c:pt>
                <c:pt idx="25">
                  <c:v>4-Sep-20</c:v>
                </c:pt>
                <c:pt idx="26">
                  <c:v>19-Aug-20</c:v>
                </c:pt>
                <c:pt idx="27">
                  <c:v>29-Jun-20</c:v>
                </c:pt>
                <c:pt idx="28">
                  <c:v>8-Jun-20</c:v>
                </c:pt>
                <c:pt idx="29">
                  <c:v>21-Apr-20</c:v>
                </c:pt>
                <c:pt idx="30">
                  <c:v>20-Nov-20</c:v>
                </c:pt>
                <c:pt idx="31">
                  <c:v>10-Jun-20</c:v>
                </c:pt>
                <c:pt idx="32">
                  <c:v>14-Mar-20</c:v>
                </c:pt>
                <c:pt idx="33">
                  <c:v>11-Nov-20</c:v>
                </c:pt>
                <c:pt idx="34">
                  <c:v>11-Sep-20</c:v>
                </c:pt>
                <c:pt idx="35">
                  <c:v>2-Jun-20</c:v>
                </c:pt>
                <c:pt idx="36">
                  <c:v>20-Dec-20</c:v>
                </c:pt>
                <c:pt idx="37">
                  <c:v>8-Dec-20</c:v>
                </c:pt>
              </c:strCache>
            </c:strRef>
          </c:cat>
          <c:val>
            <c:numRef>
              <c:f>Sheet1!$AB$5:$AB$43</c:f>
              <c:numCache>
                <c:formatCode>General</c:formatCode>
                <c:ptCount val="38"/>
                <c:pt idx="0">
                  <c:v>1</c:v>
                </c:pt>
                <c:pt idx="1">
                  <c:v>1</c:v>
                </c:pt>
                <c:pt idx="2">
                  <c:v>1</c:v>
                </c:pt>
                <c:pt idx="3">
                  <c:v>1</c:v>
                </c:pt>
                <c:pt idx="4">
                  <c:v>1</c:v>
                </c:pt>
                <c:pt idx="5">
                  <c:v>2</c:v>
                </c:pt>
                <c:pt idx="6">
                  <c:v>1</c:v>
                </c:pt>
                <c:pt idx="7">
                  <c:v>1</c:v>
                </c:pt>
                <c:pt idx="8">
                  <c:v>1</c:v>
                </c:pt>
                <c:pt idx="9">
                  <c:v>1</c:v>
                </c:pt>
                <c:pt idx="10">
                  <c:v>1</c:v>
                </c:pt>
                <c:pt idx="11">
                  <c:v>1</c:v>
                </c:pt>
                <c:pt idx="12">
                  <c:v>1</c:v>
                </c:pt>
                <c:pt idx="13">
                  <c:v>1</c:v>
                </c:pt>
                <c:pt idx="14">
                  <c:v>1</c:v>
                </c:pt>
                <c:pt idx="16">
                  <c:v>2</c:v>
                </c:pt>
                <c:pt idx="17">
                  <c:v>2</c:v>
                </c:pt>
                <c:pt idx="18">
                  <c:v>1</c:v>
                </c:pt>
                <c:pt idx="19">
                  <c:v>1</c:v>
                </c:pt>
                <c:pt idx="20">
                  <c:v>1</c:v>
                </c:pt>
                <c:pt idx="21">
                  <c:v>1</c:v>
                </c:pt>
                <c:pt idx="22">
                  <c:v>1</c:v>
                </c:pt>
                <c:pt idx="25">
                  <c:v>1</c:v>
                </c:pt>
                <c:pt idx="26">
                  <c:v>1</c:v>
                </c:pt>
                <c:pt idx="27">
                  <c:v>1</c:v>
                </c:pt>
                <c:pt idx="28">
                  <c:v>1</c:v>
                </c:pt>
                <c:pt idx="29">
                  <c:v>1</c:v>
                </c:pt>
                <c:pt idx="30">
                  <c:v>1</c:v>
                </c:pt>
                <c:pt idx="31">
                  <c:v>1</c:v>
                </c:pt>
                <c:pt idx="33">
                  <c:v>1</c:v>
                </c:pt>
                <c:pt idx="34">
                  <c:v>1</c:v>
                </c:pt>
                <c:pt idx="36">
                  <c:v>1</c:v>
                </c:pt>
                <c:pt idx="37">
                  <c:v>1</c:v>
                </c:pt>
              </c:numCache>
            </c:numRef>
          </c:val>
          <c:extLst>
            <c:ext xmlns:c16="http://schemas.microsoft.com/office/drawing/2014/chart" uri="{C3380CC4-5D6E-409C-BE32-E72D297353CC}">
              <c16:uniqueId val="{0000001B-C600-4451-92F4-89ED9ADB9AEF}"/>
            </c:ext>
          </c:extLst>
        </c:ser>
        <c:ser>
          <c:idx val="1"/>
          <c:order val="1"/>
          <c:tx>
            <c:strRef>
              <c:f>Sheet1!$AC$3:$AC$4</c:f>
              <c:strCache>
                <c:ptCount val="1"/>
                <c:pt idx="0">
                  <c:v>Suspected</c:v>
                </c:pt>
              </c:strCache>
            </c:strRef>
          </c:tx>
          <c:spPr>
            <a:solidFill>
              <a:schemeClr val="accent4">
                <a:lumMod val="40000"/>
                <a:lumOff val="60000"/>
              </a:schemeClr>
            </a:solidFill>
            <a:ln>
              <a:solidFill>
                <a:schemeClr val="bg1">
                  <a:lumMod val="6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Sheet1!$AA$5:$AA$43</c:f>
              <c:strCache>
                <c:ptCount val="38"/>
                <c:pt idx="0">
                  <c:v>10-May-20</c:v>
                </c:pt>
                <c:pt idx="1">
                  <c:v>7-Aug-20</c:v>
                </c:pt>
                <c:pt idx="2">
                  <c:v>1-Apr-20</c:v>
                </c:pt>
                <c:pt idx="3">
                  <c:v>10-Mar-20</c:v>
                </c:pt>
                <c:pt idx="4">
                  <c:v>24-Mar-20</c:v>
                </c:pt>
                <c:pt idx="5">
                  <c:v>9-Apr-20</c:v>
                </c:pt>
                <c:pt idx="6">
                  <c:v>6-Apr-20</c:v>
                </c:pt>
                <c:pt idx="7">
                  <c:v>14-Oct-20</c:v>
                </c:pt>
                <c:pt idx="8">
                  <c:v>9-Jul-20</c:v>
                </c:pt>
                <c:pt idx="9">
                  <c:v>27-Jun-20</c:v>
                </c:pt>
                <c:pt idx="10">
                  <c:v>12-Aug-20</c:v>
                </c:pt>
                <c:pt idx="11">
                  <c:v>18-Apr-20</c:v>
                </c:pt>
                <c:pt idx="12">
                  <c:v>27-Oct-20</c:v>
                </c:pt>
                <c:pt idx="13">
                  <c:v>15-Aug-20</c:v>
                </c:pt>
                <c:pt idx="14">
                  <c:v>30-Oct-20</c:v>
                </c:pt>
                <c:pt idx="15">
                  <c:v>16-Feb-20</c:v>
                </c:pt>
                <c:pt idx="16">
                  <c:v>18-Jun-20</c:v>
                </c:pt>
                <c:pt idx="17">
                  <c:v>18-Mar-20</c:v>
                </c:pt>
                <c:pt idx="18">
                  <c:v>5-Sep-20</c:v>
                </c:pt>
                <c:pt idx="19">
                  <c:v>12-Dec-20</c:v>
                </c:pt>
                <c:pt idx="20">
                  <c:v>2-Aug-20</c:v>
                </c:pt>
                <c:pt idx="21">
                  <c:v>20-Apr-20</c:v>
                </c:pt>
                <c:pt idx="22">
                  <c:v>11-Aug-20</c:v>
                </c:pt>
                <c:pt idx="23">
                  <c:v>11-Oct-20</c:v>
                </c:pt>
                <c:pt idx="24">
                  <c:v>5-May-20</c:v>
                </c:pt>
                <c:pt idx="25">
                  <c:v>4-Sep-20</c:v>
                </c:pt>
                <c:pt idx="26">
                  <c:v>19-Aug-20</c:v>
                </c:pt>
                <c:pt idx="27">
                  <c:v>29-Jun-20</c:v>
                </c:pt>
                <c:pt idx="28">
                  <c:v>8-Jun-20</c:v>
                </c:pt>
                <c:pt idx="29">
                  <c:v>21-Apr-20</c:v>
                </c:pt>
                <c:pt idx="30">
                  <c:v>20-Nov-20</c:v>
                </c:pt>
                <c:pt idx="31">
                  <c:v>10-Jun-20</c:v>
                </c:pt>
                <c:pt idx="32">
                  <c:v>14-Mar-20</c:v>
                </c:pt>
                <c:pt idx="33">
                  <c:v>11-Nov-20</c:v>
                </c:pt>
                <c:pt idx="34">
                  <c:v>11-Sep-20</c:v>
                </c:pt>
                <c:pt idx="35">
                  <c:v>2-Jun-20</c:v>
                </c:pt>
                <c:pt idx="36">
                  <c:v>20-Dec-20</c:v>
                </c:pt>
                <c:pt idx="37">
                  <c:v>8-Dec-20</c:v>
                </c:pt>
              </c:strCache>
            </c:strRef>
          </c:cat>
          <c:val>
            <c:numRef>
              <c:f>Sheet1!$AC$5:$AC$43</c:f>
              <c:numCache>
                <c:formatCode>General</c:formatCode>
                <c:ptCount val="38"/>
                <c:pt idx="15">
                  <c:v>1</c:v>
                </c:pt>
                <c:pt idx="23">
                  <c:v>1</c:v>
                </c:pt>
                <c:pt idx="24">
                  <c:v>1</c:v>
                </c:pt>
                <c:pt idx="32">
                  <c:v>1</c:v>
                </c:pt>
                <c:pt idx="35">
                  <c:v>1</c:v>
                </c:pt>
              </c:numCache>
            </c:numRef>
          </c:val>
          <c:extLst>
            <c:ext xmlns:c16="http://schemas.microsoft.com/office/drawing/2014/chart" uri="{C3380CC4-5D6E-409C-BE32-E72D297353CC}">
              <c16:uniqueId val="{00000002-DA89-4798-B812-DF9DFD6EE434}"/>
            </c:ext>
          </c:extLst>
        </c:ser>
        <c:dLbls>
          <c:showLegendKey val="0"/>
          <c:showVal val="0"/>
          <c:showCatName val="0"/>
          <c:showSerName val="0"/>
          <c:showPercent val="0"/>
          <c:showBubbleSize val="0"/>
        </c:dLbls>
        <c:gapWidth val="219"/>
        <c:overlap val="-27"/>
        <c:axId val="670588351"/>
        <c:axId val="670593759"/>
      </c:barChart>
      <c:catAx>
        <c:axId val="6705883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670593759"/>
        <c:crosses val="autoZero"/>
        <c:auto val="1"/>
        <c:lblAlgn val="ctr"/>
        <c:lblOffset val="100"/>
        <c:noMultiLvlLbl val="0"/>
      </c:catAx>
      <c:valAx>
        <c:axId val="6705937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05883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[COVID19 Business Health Tracker.xlsm]Sheet1!Case_pie</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400" b="1"/>
              <a:t>Infected Cases Category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pivotFmt>
      <c:pivotFmt>
        <c:idx val="9"/>
        <c:spPr>
          <a:solidFill>
            <a:schemeClr val="accent6"/>
          </a:solidFill>
          <a:ln w="19050">
            <a:solidFill>
              <a:schemeClr val="lt1"/>
            </a:solidFill>
          </a:ln>
          <a:effectLst/>
        </c:spPr>
      </c:pivotFmt>
      <c:pivotFmt>
        <c:idx val="10"/>
        <c:spPr>
          <a:solidFill>
            <a:schemeClr val="accent6"/>
          </a:solidFill>
          <a:ln w="19050">
            <a:solidFill>
              <a:schemeClr val="lt1"/>
            </a:solidFill>
          </a:ln>
          <a:effectLst/>
        </c:spPr>
        <c:marker>
          <c:symbol val="none"/>
        </c:marker>
        <c:dLbl>
          <c:idx val="0"/>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1"/>
          <c:showSerName val="0"/>
          <c:showPercent val="1"/>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6">
              <a:shade val="45000"/>
            </a:schemeClr>
          </a:solidFill>
          <a:ln w="19050">
            <a:solidFill>
              <a:schemeClr val="lt1"/>
            </a:solidFill>
          </a:ln>
          <a:effectLst/>
        </c:spPr>
      </c:pivotFmt>
      <c:pivotFmt>
        <c:idx val="12"/>
        <c:spPr>
          <a:solidFill>
            <a:schemeClr val="accent6">
              <a:shade val="61000"/>
            </a:schemeClr>
          </a:solidFill>
          <a:ln w="19050">
            <a:solidFill>
              <a:schemeClr val="lt1"/>
            </a:solidFill>
          </a:ln>
          <a:effectLst/>
        </c:spPr>
      </c:pivotFmt>
      <c:pivotFmt>
        <c:idx val="13"/>
        <c:spPr>
          <a:solidFill>
            <a:schemeClr val="accent6">
              <a:shade val="76000"/>
            </a:schemeClr>
          </a:solidFill>
          <a:ln w="19050">
            <a:solidFill>
              <a:schemeClr val="lt1"/>
            </a:solidFill>
          </a:ln>
          <a:effectLst/>
        </c:spPr>
      </c:pivotFmt>
      <c:pivotFmt>
        <c:idx val="14"/>
        <c:spPr>
          <a:solidFill>
            <a:schemeClr val="accent6">
              <a:shade val="92000"/>
            </a:schemeClr>
          </a:solidFill>
          <a:ln w="19050">
            <a:solidFill>
              <a:schemeClr val="lt1"/>
            </a:solidFill>
          </a:ln>
          <a:effectLst/>
        </c:spPr>
      </c:pivotFmt>
      <c:pivotFmt>
        <c:idx val="15"/>
        <c:spPr>
          <a:solidFill>
            <a:schemeClr val="accent6">
              <a:tint val="93000"/>
            </a:schemeClr>
          </a:solidFill>
          <a:ln w="19050">
            <a:solidFill>
              <a:schemeClr val="lt1"/>
            </a:solidFill>
          </a:ln>
          <a:effectLst/>
        </c:spPr>
      </c:pivotFmt>
      <c:pivotFmt>
        <c:idx val="16"/>
        <c:spPr>
          <a:solidFill>
            <a:schemeClr val="accent6">
              <a:tint val="77000"/>
            </a:schemeClr>
          </a:solidFill>
          <a:ln w="19050">
            <a:solidFill>
              <a:schemeClr val="lt1"/>
            </a:solidFill>
          </a:ln>
          <a:effectLst/>
        </c:spPr>
      </c:pivotFmt>
      <c:pivotFmt>
        <c:idx val="17"/>
        <c:spPr>
          <a:solidFill>
            <a:schemeClr val="accent6">
              <a:tint val="62000"/>
            </a:schemeClr>
          </a:solidFill>
          <a:ln w="19050">
            <a:solidFill>
              <a:schemeClr val="lt1"/>
            </a:solidFill>
          </a:ln>
          <a:effectLst/>
        </c:spPr>
      </c:pivotFmt>
      <c:pivotFmt>
        <c:idx val="18"/>
        <c:spPr>
          <a:solidFill>
            <a:schemeClr val="accent6">
              <a:tint val="46000"/>
            </a:schemeClr>
          </a:solidFill>
          <a:ln w="19050">
            <a:solidFill>
              <a:schemeClr val="lt1"/>
            </a:solidFill>
          </a:ln>
          <a:effectLst/>
        </c:spPr>
      </c:pivotFmt>
    </c:pivotFmts>
    <c:plotArea>
      <c:layout>
        <c:manualLayout>
          <c:layoutTarget val="inner"/>
          <c:xMode val="edge"/>
          <c:yMode val="edge"/>
          <c:x val="0.17301612488441187"/>
          <c:y val="0.13001560693454065"/>
          <c:w val="0.65844299385536309"/>
          <c:h val="0.86768427196660736"/>
        </c:manualLayout>
      </c:layout>
      <c:pieChart>
        <c:varyColors val="1"/>
        <c:ser>
          <c:idx val="0"/>
          <c:order val="0"/>
          <c:tx>
            <c:strRef>
              <c:f>Sheet1!$AG$3</c:f>
              <c:strCache>
                <c:ptCount val="1"/>
                <c:pt idx="0">
                  <c:v>Total</c:v>
                </c:pt>
              </c:strCache>
            </c:strRef>
          </c:tx>
          <c:dPt>
            <c:idx val="0"/>
            <c:bubble3D val="0"/>
            <c:spPr>
              <a:solidFill>
                <a:schemeClr val="accent6">
                  <a:shade val="45000"/>
                </a:schemeClr>
              </a:solidFill>
              <a:ln w="19050">
                <a:solidFill>
                  <a:schemeClr val="lt1"/>
                </a:solidFill>
              </a:ln>
              <a:effectLst/>
            </c:spPr>
            <c:extLst>
              <c:ext xmlns:c16="http://schemas.microsoft.com/office/drawing/2014/chart" uri="{C3380CC4-5D6E-409C-BE32-E72D297353CC}">
                <c16:uniqueId val="{00000001-25B9-4C38-8969-17C36D0104BC}"/>
              </c:ext>
            </c:extLst>
          </c:dPt>
          <c:dPt>
            <c:idx val="1"/>
            <c:bubble3D val="0"/>
            <c:spPr>
              <a:solidFill>
                <a:schemeClr val="accent6">
                  <a:shade val="61000"/>
                </a:schemeClr>
              </a:solidFill>
              <a:ln w="19050">
                <a:solidFill>
                  <a:schemeClr val="lt1"/>
                </a:solidFill>
              </a:ln>
              <a:effectLst/>
            </c:spPr>
            <c:extLst>
              <c:ext xmlns:c16="http://schemas.microsoft.com/office/drawing/2014/chart" uri="{C3380CC4-5D6E-409C-BE32-E72D297353CC}">
                <c16:uniqueId val="{00000003-25B9-4C38-8969-17C36D0104BC}"/>
              </c:ext>
            </c:extLst>
          </c:dPt>
          <c:dPt>
            <c:idx val="2"/>
            <c:bubble3D val="0"/>
            <c:spPr>
              <a:solidFill>
                <a:schemeClr val="accent6">
                  <a:shade val="76000"/>
                </a:schemeClr>
              </a:solidFill>
              <a:ln w="19050">
                <a:solidFill>
                  <a:schemeClr val="lt1"/>
                </a:solidFill>
              </a:ln>
              <a:effectLst/>
            </c:spPr>
            <c:extLst>
              <c:ext xmlns:c16="http://schemas.microsoft.com/office/drawing/2014/chart" uri="{C3380CC4-5D6E-409C-BE32-E72D297353CC}">
                <c16:uniqueId val="{00000005-25B9-4C38-8969-17C36D0104BC}"/>
              </c:ext>
            </c:extLst>
          </c:dPt>
          <c:dPt>
            <c:idx val="3"/>
            <c:bubble3D val="0"/>
            <c:spPr>
              <a:solidFill>
                <a:schemeClr val="accent6">
                  <a:shade val="92000"/>
                </a:schemeClr>
              </a:solidFill>
              <a:ln w="19050">
                <a:solidFill>
                  <a:schemeClr val="lt1"/>
                </a:solidFill>
              </a:ln>
              <a:effectLst/>
            </c:spPr>
            <c:extLst>
              <c:ext xmlns:c16="http://schemas.microsoft.com/office/drawing/2014/chart" uri="{C3380CC4-5D6E-409C-BE32-E72D297353CC}">
                <c16:uniqueId val="{00000007-25B9-4C38-8969-17C36D0104BC}"/>
              </c:ext>
            </c:extLst>
          </c:dPt>
          <c:dPt>
            <c:idx val="4"/>
            <c:bubble3D val="0"/>
            <c:spPr>
              <a:solidFill>
                <a:schemeClr val="accent6">
                  <a:tint val="93000"/>
                </a:schemeClr>
              </a:solidFill>
              <a:ln w="19050">
                <a:solidFill>
                  <a:schemeClr val="lt1"/>
                </a:solidFill>
              </a:ln>
              <a:effectLst/>
            </c:spPr>
            <c:extLst>
              <c:ext xmlns:c16="http://schemas.microsoft.com/office/drawing/2014/chart" uri="{C3380CC4-5D6E-409C-BE32-E72D297353CC}">
                <c16:uniqueId val="{00000009-25B9-4C38-8969-17C36D0104BC}"/>
              </c:ext>
            </c:extLst>
          </c:dPt>
          <c:dPt>
            <c:idx val="5"/>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B-25B9-4C38-8969-17C36D0104BC}"/>
              </c:ext>
            </c:extLst>
          </c:dPt>
          <c:dPt>
            <c:idx val="6"/>
            <c:bubble3D val="0"/>
            <c:spPr>
              <a:solidFill>
                <a:schemeClr val="accent6">
                  <a:tint val="62000"/>
                </a:schemeClr>
              </a:solidFill>
              <a:ln w="19050">
                <a:solidFill>
                  <a:schemeClr val="lt1"/>
                </a:solidFill>
              </a:ln>
              <a:effectLst/>
            </c:spPr>
            <c:extLst>
              <c:ext xmlns:c16="http://schemas.microsoft.com/office/drawing/2014/chart" uri="{C3380CC4-5D6E-409C-BE32-E72D297353CC}">
                <c16:uniqueId val="{0000000D-25B9-4C38-8969-17C36D0104BC}"/>
              </c:ext>
            </c:extLst>
          </c:dPt>
          <c:dPt>
            <c:idx val="7"/>
            <c:bubble3D val="0"/>
            <c:spPr>
              <a:solidFill>
                <a:schemeClr val="accent6">
                  <a:tint val="46000"/>
                </a:schemeClr>
              </a:solidFill>
              <a:ln w="19050">
                <a:solidFill>
                  <a:schemeClr val="lt1"/>
                </a:solidFill>
              </a:ln>
              <a:effectLst/>
            </c:spPr>
            <c:extLst>
              <c:ext xmlns:c16="http://schemas.microsoft.com/office/drawing/2014/chart" uri="{C3380CC4-5D6E-409C-BE32-E72D297353CC}">
                <c16:uniqueId val="{0000000F-25B9-4C38-8969-17C36D0104BC}"/>
              </c:ext>
            </c:extLst>
          </c:dPt>
          <c:dLbls>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Sheet1!$AF$4:$AF$12</c:f>
              <c:strCache>
                <c:ptCount val="8"/>
                <c:pt idx="0">
                  <c:v>Delivery</c:v>
                </c:pt>
                <c:pt idx="1">
                  <c:v>Finance</c:v>
                </c:pt>
                <c:pt idx="2">
                  <c:v>HR</c:v>
                </c:pt>
                <c:pt idx="3">
                  <c:v>Planning</c:v>
                </c:pt>
                <c:pt idx="4">
                  <c:v>Production</c:v>
                </c:pt>
                <c:pt idx="5">
                  <c:v>Purchasing</c:v>
                </c:pt>
                <c:pt idx="6">
                  <c:v>QA</c:v>
                </c:pt>
                <c:pt idx="7">
                  <c:v>Warehouse</c:v>
                </c:pt>
              </c:strCache>
            </c:strRef>
          </c:cat>
          <c:val>
            <c:numRef>
              <c:f>Sheet1!$AG$4:$AG$12</c:f>
              <c:numCache>
                <c:formatCode>General</c:formatCode>
                <c:ptCount val="8"/>
                <c:pt idx="0">
                  <c:v>2</c:v>
                </c:pt>
                <c:pt idx="1">
                  <c:v>5</c:v>
                </c:pt>
                <c:pt idx="2">
                  <c:v>6</c:v>
                </c:pt>
                <c:pt idx="3">
                  <c:v>5</c:v>
                </c:pt>
                <c:pt idx="4">
                  <c:v>4</c:v>
                </c:pt>
                <c:pt idx="5">
                  <c:v>4</c:v>
                </c:pt>
                <c:pt idx="6">
                  <c:v>7</c:v>
                </c:pt>
                <c:pt idx="7">
                  <c:v>8</c:v>
                </c:pt>
              </c:numCache>
            </c:numRef>
          </c:val>
          <c:extLst>
            <c:ext xmlns:c16="http://schemas.microsoft.com/office/drawing/2014/chart" uri="{C3380CC4-5D6E-409C-BE32-E72D297353CC}">
              <c16:uniqueId val="{00000011-117F-4983-953D-FB4397A456FD}"/>
            </c:ext>
          </c:extLst>
        </c:ser>
        <c:dLbls>
          <c:dLblPos val="bestFit"/>
          <c:showLegendKey val="0"/>
          <c:showVal val="0"/>
          <c:showCatName val="1"/>
          <c:showSerName val="0"/>
          <c:showPercent val="1"/>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sz="10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 Business Health Tracker.xlsm]Sheet1!Age</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400" b="1">
                <a:latin typeface="Arial" panose="020B0604020202020204" pitchFamily="34" charset="0"/>
                <a:cs typeface="Arial" panose="020B0604020202020204" pitchFamily="34" charset="0"/>
              </a:rPr>
              <a:t>Infected Cases Per Age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3236931655368"/>
          <c:y val="0.12488888888888888"/>
          <c:w val="0.75058431593421004"/>
          <c:h val="0.82622222222222219"/>
        </c:manualLayout>
      </c:layout>
      <c:barChart>
        <c:barDir val="bar"/>
        <c:grouping val="clustered"/>
        <c:varyColors val="0"/>
        <c:ser>
          <c:idx val="0"/>
          <c:order val="0"/>
          <c:tx>
            <c:strRef>
              <c:f>Sheet1!$AJ$3</c:f>
              <c:strCache>
                <c:ptCount val="1"/>
                <c:pt idx="0">
                  <c:v>Total</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Sheet1!$AI$4:$AI$15</c:f>
              <c:strCache>
                <c:ptCount val="11"/>
                <c:pt idx="0">
                  <c:v>32</c:v>
                </c:pt>
                <c:pt idx="1">
                  <c:v>37</c:v>
                </c:pt>
                <c:pt idx="2">
                  <c:v>28</c:v>
                </c:pt>
                <c:pt idx="3">
                  <c:v>30</c:v>
                </c:pt>
                <c:pt idx="4">
                  <c:v>25</c:v>
                </c:pt>
                <c:pt idx="5">
                  <c:v>36</c:v>
                </c:pt>
                <c:pt idx="6">
                  <c:v>29</c:v>
                </c:pt>
                <c:pt idx="7">
                  <c:v>27</c:v>
                </c:pt>
                <c:pt idx="8">
                  <c:v>38</c:v>
                </c:pt>
                <c:pt idx="9">
                  <c:v>31</c:v>
                </c:pt>
                <c:pt idx="10">
                  <c:v>26</c:v>
                </c:pt>
              </c:strCache>
            </c:strRef>
          </c:cat>
          <c:val>
            <c:numRef>
              <c:f>Sheet1!$AJ$4:$AJ$15</c:f>
              <c:numCache>
                <c:formatCode>General</c:formatCode>
                <c:ptCount val="11"/>
                <c:pt idx="0">
                  <c:v>4</c:v>
                </c:pt>
                <c:pt idx="1">
                  <c:v>4</c:v>
                </c:pt>
                <c:pt idx="2">
                  <c:v>1</c:v>
                </c:pt>
                <c:pt idx="3">
                  <c:v>1</c:v>
                </c:pt>
                <c:pt idx="4">
                  <c:v>2</c:v>
                </c:pt>
                <c:pt idx="5">
                  <c:v>6</c:v>
                </c:pt>
                <c:pt idx="6">
                  <c:v>7</c:v>
                </c:pt>
                <c:pt idx="7">
                  <c:v>4</c:v>
                </c:pt>
                <c:pt idx="8">
                  <c:v>8</c:v>
                </c:pt>
                <c:pt idx="9">
                  <c:v>3</c:v>
                </c:pt>
                <c:pt idx="10">
                  <c:v>1</c:v>
                </c:pt>
              </c:numCache>
            </c:numRef>
          </c:val>
          <c:extLst>
            <c:ext xmlns:c16="http://schemas.microsoft.com/office/drawing/2014/chart" uri="{C3380CC4-5D6E-409C-BE32-E72D297353CC}">
              <c16:uniqueId val="{00000001-DCC4-4E85-BB3E-AAFEA35E26D6}"/>
            </c:ext>
          </c:extLst>
        </c:ser>
        <c:dLbls>
          <c:dLblPos val="outEnd"/>
          <c:showLegendKey val="0"/>
          <c:showVal val="1"/>
          <c:showCatName val="0"/>
          <c:showSerName val="0"/>
          <c:showPercent val="0"/>
          <c:showBubbleSize val="0"/>
        </c:dLbls>
        <c:gapWidth val="182"/>
        <c:axId val="1199454879"/>
        <c:axId val="1199449887"/>
      </c:barChart>
      <c:catAx>
        <c:axId val="11994548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199449887"/>
        <c:crosses val="autoZero"/>
        <c:auto val="1"/>
        <c:lblAlgn val="ctr"/>
        <c:lblOffset val="100"/>
        <c:noMultiLvlLbl val="0"/>
      </c:catAx>
      <c:valAx>
        <c:axId val="1199449887"/>
        <c:scaling>
          <c:orientation val="minMax"/>
        </c:scaling>
        <c:delete val="1"/>
        <c:axPos val="b"/>
        <c:numFmt formatCode="General" sourceLinked="1"/>
        <c:majorTickMark val="none"/>
        <c:minorTickMark val="none"/>
        <c:tickLblPos val="nextTo"/>
        <c:crossAx val="1199454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 Business Health Tracker.xlsm]Sheet1!gender</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400" b="1">
                <a:latin typeface="Arial" panose="020B0604020202020204" pitchFamily="34" charset="0"/>
                <a:cs typeface="Arial" panose="020B0604020202020204" pitchFamily="34" charset="0"/>
              </a:rPr>
              <a:t>Infected Cases Per Gender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5"/>
        <c:spPr>
          <a:solidFill>
            <a:srgbClr val="F2A672"/>
          </a:solidFill>
          <a:ln w="19050">
            <a:solidFill>
              <a:schemeClr val="lt1"/>
            </a:solidFill>
          </a:ln>
          <a:effectLst/>
        </c:spPr>
      </c:pivotFmt>
      <c:pivotFmt>
        <c:idx val="6"/>
        <c:spPr>
          <a:solidFill>
            <a:schemeClr val="bg1">
              <a:lumMod val="50000"/>
            </a:schemeClr>
          </a:solidFill>
          <a:ln w="19050">
            <a:solidFill>
              <a:schemeClr val="lt1"/>
            </a:solidFill>
          </a:ln>
          <a:effectLst/>
        </c:spPr>
      </c:pivotFmt>
    </c:pivotFmts>
    <c:plotArea>
      <c:layout>
        <c:manualLayout>
          <c:layoutTarget val="inner"/>
          <c:xMode val="edge"/>
          <c:yMode val="edge"/>
          <c:x val="0.20365391621860318"/>
          <c:y val="0.12822990242875396"/>
          <c:w val="0.6173096928191264"/>
          <c:h val="0.77638216318019382"/>
        </c:manualLayout>
      </c:layout>
      <c:doughnutChart>
        <c:varyColors val="1"/>
        <c:ser>
          <c:idx val="0"/>
          <c:order val="0"/>
          <c:tx>
            <c:strRef>
              <c:f>Sheet1!$AM$3</c:f>
              <c:strCache>
                <c:ptCount val="1"/>
                <c:pt idx="0">
                  <c:v>Total</c:v>
                </c:pt>
              </c:strCache>
            </c:strRef>
          </c:tx>
          <c:dPt>
            <c:idx val="0"/>
            <c:bubble3D val="0"/>
            <c:spPr>
              <a:solidFill>
                <a:srgbClr val="F2A672"/>
              </a:solidFill>
              <a:ln w="19050">
                <a:solidFill>
                  <a:schemeClr val="lt1"/>
                </a:solidFill>
              </a:ln>
              <a:effectLst/>
            </c:spPr>
            <c:extLst>
              <c:ext xmlns:c16="http://schemas.microsoft.com/office/drawing/2014/chart" uri="{C3380CC4-5D6E-409C-BE32-E72D297353CC}">
                <c16:uniqueId val="{00000001-AE49-469B-A6A7-FEA2FB394D4F}"/>
              </c:ext>
            </c:extLst>
          </c:dPt>
          <c:dPt>
            <c:idx val="1"/>
            <c:bubble3D val="0"/>
            <c:spPr>
              <a:solidFill>
                <a:schemeClr val="bg1">
                  <a:lumMod val="50000"/>
                </a:schemeClr>
              </a:solidFill>
              <a:ln w="19050">
                <a:solidFill>
                  <a:schemeClr val="lt1"/>
                </a:solidFill>
              </a:ln>
              <a:effectLst/>
            </c:spPr>
            <c:extLst>
              <c:ext xmlns:c16="http://schemas.microsoft.com/office/drawing/2014/chart" uri="{C3380CC4-5D6E-409C-BE32-E72D297353CC}">
                <c16:uniqueId val="{00000003-AE49-469B-A6A7-FEA2FB394D4F}"/>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85000"/>
                        <a:lumOff val="1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Sheet1!$AL$4:$AL$6</c:f>
              <c:strCache>
                <c:ptCount val="2"/>
                <c:pt idx="0">
                  <c:v>F</c:v>
                </c:pt>
                <c:pt idx="1">
                  <c:v>M</c:v>
                </c:pt>
              </c:strCache>
            </c:strRef>
          </c:cat>
          <c:val>
            <c:numRef>
              <c:f>Sheet1!$AM$4:$AM$6</c:f>
              <c:numCache>
                <c:formatCode>General</c:formatCode>
                <c:ptCount val="2"/>
                <c:pt idx="0">
                  <c:v>15</c:v>
                </c:pt>
                <c:pt idx="1">
                  <c:v>26</c:v>
                </c:pt>
              </c:numCache>
            </c:numRef>
          </c:val>
          <c:extLst>
            <c:ext xmlns:c16="http://schemas.microsoft.com/office/drawing/2014/chart" uri="{C3380CC4-5D6E-409C-BE32-E72D297353CC}">
              <c16:uniqueId val="{00000005-969C-481D-9046-4F54D4C8C22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 Business Health Tracker.xlsm]Sheet1!PivotTable6</c:name>
    <c:fmtId val="5"/>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600">
                <a:latin typeface="Arial" panose="020B0604020202020204" pitchFamily="34" charset="0"/>
                <a:cs typeface="Arial" panose="020B0604020202020204" pitchFamily="34" charset="0"/>
              </a:rPr>
              <a:t>Infected Cases VS Department Manpower</a:t>
            </a:r>
          </a:p>
        </c:rich>
      </c:tx>
      <c:layout>
        <c:manualLayout>
          <c:xMode val="edge"/>
          <c:yMode val="edge"/>
          <c:x val="0.10230229586349616"/>
          <c:y val="0"/>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8A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8FCFAD"/>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bg1">
                <a:lumMod val="50000"/>
              </a:schemeClr>
            </a:solidFill>
            <a:prstDash val="sysDash"/>
            <a:round/>
          </a:ln>
          <a:effectLst/>
        </c:spPr>
        <c:marker>
          <c:symbol val="diamond"/>
          <c:size val="7"/>
          <c:spPr>
            <a:solidFill>
              <a:srgbClr val="8A0000"/>
            </a:solidFill>
            <a:ln w="9525">
              <a:solidFill>
                <a:srgbClr val="C00000"/>
              </a:solidFill>
              <a:prstDash val="dash"/>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Sheet1!$O$3</c:f>
              <c:strCache>
                <c:ptCount val="1"/>
                <c:pt idx="0">
                  <c:v>Number Of Cases</c:v>
                </c:pt>
              </c:strCache>
            </c:strRef>
          </c:tx>
          <c:spPr>
            <a:solidFill>
              <a:srgbClr val="8A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Sheet1!$N$4:$N$12</c:f>
              <c:strCache>
                <c:ptCount val="8"/>
                <c:pt idx="0">
                  <c:v>Delivery</c:v>
                </c:pt>
                <c:pt idx="1">
                  <c:v>Finance</c:v>
                </c:pt>
                <c:pt idx="2">
                  <c:v>HR</c:v>
                </c:pt>
                <c:pt idx="3">
                  <c:v>Planning</c:v>
                </c:pt>
                <c:pt idx="4">
                  <c:v>Production</c:v>
                </c:pt>
                <c:pt idx="5">
                  <c:v>Purchasing</c:v>
                </c:pt>
                <c:pt idx="6">
                  <c:v>QA</c:v>
                </c:pt>
                <c:pt idx="7">
                  <c:v>Warehouse</c:v>
                </c:pt>
              </c:strCache>
            </c:strRef>
          </c:cat>
          <c:val>
            <c:numRef>
              <c:f>Sheet1!$O$4:$O$12</c:f>
              <c:numCache>
                <c:formatCode>General</c:formatCode>
                <c:ptCount val="8"/>
                <c:pt idx="0">
                  <c:v>2</c:v>
                </c:pt>
                <c:pt idx="1">
                  <c:v>5</c:v>
                </c:pt>
                <c:pt idx="2">
                  <c:v>6</c:v>
                </c:pt>
                <c:pt idx="3">
                  <c:v>5</c:v>
                </c:pt>
                <c:pt idx="4">
                  <c:v>4</c:v>
                </c:pt>
                <c:pt idx="5">
                  <c:v>4</c:v>
                </c:pt>
                <c:pt idx="6">
                  <c:v>7</c:v>
                </c:pt>
                <c:pt idx="7">
                  <c:v>8</c:v>
                </c:pt>
              </c:numCache>
            </c:numRef>
          </c:val>
          <c:extLst>
            <c:ext xmlns:c16="http://schemas.microsoft.com/office/drawing/2014/chart" uri="{C3380CC4-5D6E-409C-BE32-E72D297353CC}">
              <c16:uniqueId val="{00000003-139E-4D14-ABF6-659FE2B4B9DA}"/>
            </c:ext>
          </c:extLst>
        </c:ser>
        <c:ser>
          <c:idx val="1"/>
          <c:order val="1"/>
          <c:tx>
            <c:strRef>
              <c:f>Sheet1!$P$3</c:f>
              <c:strCache>
                <c:ptCount val="1"/>
                <c:pt idx="0">
                  <c:v>Department Manpower.</c:v>
                </c:pt>
              </c:strCache>
            </c:strRef>
          </c:tx>
          <c:spPr>
            <a:solidFill>
              <a:srgbClr val="8FCFAD"/>
            </a:solidFill>
            <a:ln>
              <a:solidFill>
                <a:schemeClr val="bg1">
                  <a:lumMod val="6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Sheet1!$N$4:$N$12</c:f>
              <c:strCache>
                <c:ptCount val="8"/>
                <c:pt idx="0">
                  <c:v>Delivery</c:v>
                </c:pt>
                <c:pt idx="1">
                  <c:v>Finance</c:v>
                </c:pt>
                <c:pt idx="2">
                  <c:v>HR</c:v>
                </c:pt>
                <c:pt idx="3">
                  <c:v>Planning</c:v>
                </c:pt>
                <c:pt idx="4">
                  <c:v>Production</c:v>
                </c:pt>
                <c:pt idx="5">
                  <c:v>Purchasing</c:v>
                </c:pt>
                <c:pt idx="6">
                  <c:v>QA</c:v>
                </c:pt>
                <c:pt idx="7">
                  <c:v>Warehouse</c:v>
                </c:pt>
              </c:strCache>
            </c:strRef>
          </c:cat>
          <c:val>
            <c:numRef>
              <c:f>Sheet1!$P$4:$P$12</c:f>
              <c:numCache>
                <c:formatCode>General</c:formatCode>
                <c:ptCount val="8"/>
                <c:pt idx="0">
                  <c:v>7</c:v>
                </c:pt>
                <c:pt idx="1">
                  <c:v>10</c:v>
                </c:pt>
                <c:pt idx="2">
                  <c:v>16</c:v>
                </c:pt>
                <c:pt idx="3">
                  <c:v>13</c:v>
                </c:pt>
                <c:pt idx="4">
                  <c:v>12</c:v>
                </c:pt>
                <c:pt idx="5">
                  <c:v>15</c:v>
                </c:pt>
                <c:pt idx="6">
                  <c:v>13</c:v>
                </c:pt>
                <c:pt idx="7">
                  <c:v>18</c:v>
                </c:pt>
              </c:numCache>
            </c:numRef>
          </c:val>
          <c:extLst>
            <c:ext xmlns:c16="http://schemas.microsoft.com/office/drawing/2014/chart" uri="{C3380CC4-5D6E-409C-BE32-E72D297353CC}">
              <c16:uniqueId val="{00000005-139E-4D14-ABF6-659FE2B4B9DA}"/>
            </c:ext>
          </c:extLst>
        </c:ser>
        <c:dLbls>
          <c:showLegendKey val="0"/>
          <c:showVal val="0"/>
          <c:showCatName val="0"/>
          <c:showSerName val="0"/>
          <c:showPercent val="0"/>
          <c:showBubbleSize val="0"/>
        </c:dLbls>
        <c:gapWidth val="150"/>
        <c:axId val="1061351183"/>
        <c:axId val="1061351599"/>
      </c:barChart>
      <c:lineChart>
        <c:grouping val="standard"/>
        <c:varyColors val="0"/>
        <c:ser>
          <c:idx val="2"/>
          <c:order val="2"/>
          <c:tx>
            <c:strRef>
              <c:f>Sheet1!$Q$3</c:f>
              <c:strCache>
                <c:ptCount val="1"/>
                <c:pt idx="0">
                  <c:v>Infection %</c:v>
                </c:pt>
              </c:strCache>
            </c:strRef>
          </c:tx>
          <c:spPr>
            <a:ln w="28575" cap="rnd">
              <a:solidFill>
                <a:schemeClr val="bg1">
                  <a:lumMod val="50000"/>
                </a:schemeClr>
              </a:solidFill>
              <a:prstDash val="sysDash"/>
              <a:round/>
            </a:ln>
            <a:effectLst/>
          </c:spPr>
          <c:marker>
            <c:symbol val="diamond"/>
            <c:size val="7"/>
            <c:spPr>
              <a:solidFill>
                <a:srgbClr val="8A0000"/>
              </a:solidFill>
              <a:ln w="9525">
                <a:solidFill>
                  <a:srgbClr val="C00000"/>
                </a:solidFill>
                <a:prstDash val="dash"/>
              </a:ln>
              <a:effectLst/>
            </c:spPr>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Sheet1!$N$4:$N$12</c:f>
              <c:strCache>
                <c:ptCount val="8"/>
                <c:pt idx="0">
                  <c:v>Delivery</c:v>
                </c:pt>
                <c:pt idx="1">
                  <c:v>Finance</c:v>
                </c:pt>
                <c:pt idx="2">
                  <c:v>HR</c:v>
                </c:pt>
                <c:pt idx="3">
                  <c:v>Planning</c:v>
                </c:pt>
                <c:pt idx="4">
                  <c:v>Production</c:v>
                </c:pt>
                <c:pt idx="5">
                  <c:v>Purchasing</c:v>
                </c:pt>
                <c:pt idx="6">
                  <c:v>QA</c:v>
                </c:pt>
                <c:pt idx="7">
                  <c:v>Warehouse</c:v>
                </c:pt>
              </c:strCache>
            </c:strRef>
          </c:cat>
          <c:val>
            <c:numRef>
              <c:f>Sheet1!$Q$4:$Q$12</c:f>
              <c:numCache>
                <c:formatCode>0%</c:formatCode>
                <c:ptCount val="8"/>
                <c:pt idx="0">
                  <c:v>0.2857142857142857</c:v>
                </c:pt>
                <c:pt idx="1">
                  <c:v>0.5</c:v>
                </c:pt>
                <c:pt idx="2">
                  <c:v>0.375</c:v>
                </c:pt>
                <c:pt idx="3">
                  <c:v>0.38461538461538464</c:v>
                </c:pt>
                <c:pt idx="4">
                  <c:v>0.33333333333333331</c:v>
                </c:pt>
                <c:pt idx="5">
                  <c:v>0.26666666666666666</c:v>
                </c:pt>
                <c:pt idx="6">
                  <c:v>0.53846153846153855</c:v>
                </c:pt>
                <c:pt idx="7">
                  <c:v>0.44444444444444453</c:v>
                </c:pt>
              </c:numCache>
            </c:numRef>
          </c:val>
          <c:smooth val="0"/>
          <c:extLst>
            <c:ext xmlns:c16="http://schemas.microsoft.com/office/drawing/2014/chart" uri="{C3380CC4-5D6E-409C-BE32-E72D297353CC}">
              <c16:uniqueId val="{00000002-B25E-425C-BF76-4DA23C74D110}"/>
            </c:ext>
          </c:extLst>
        </c:ser>
        <c:dLbls>
          <c:showLegendKey val="0"/>
          <c:showVal val="0"/>
          <c:showCatName val="0"/>
          <c:showSerName val="0"/>
          <c:showPercent val="0"/>
          <c:showBubbleSize val="0"/>
        </c:dLbls>
        <c:marker val="1"/>
        <c:smooth val="0"/>
        <c:axId val="1193656479"/>
        <c:axId val="1193660223"/>
      </c:lineChart>
      <c:catAx>
        <c:axId val="106135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351599"/>
        <c:crosses val="autoZero"/>
        <c:auto val="1"/>
        <c:lblAlgn val="ctr"/>
        <c:lblOffset val="100"/>
        <c:noMultiLvlLbl val="0"/>
      </c:catAx>
      <c:valAx>
        <c:axId val="106135159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351183"/>
        <c:crosses val="autoZero"/>
        <c:crossBetween val="between"/>
      </c:valAx>
      <c:valAx>
        <c:axId val="119366022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3656479"/>
        <c:crosses val="max"/>
        <c:crossBetween val="between"/>
      </c:valAx>
      <c:catAx>
        <c:axId val="1193656479"/>
        <c:scaling>
          <c:orientation val="minMax"/>
        </c:scaling>
        <c:delete val="1"/>
        <c:axPos val="b"/>
        <c:numFmt formatCode="General" sourceLinked="1"/>
        <c:majorTickMark val="out"/>
        <c:minorTickMark val="none"/>
        <c:tickLblPos val="nextTo"/>
        <c:crossAx val="119366022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 Business Health Tracker.xlsm]Sheet1!quarinated</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Current Home Isolation Members</a:t>
            </a:r>
            <a:r>
              <a:rPr lang="en-US" baseline="0">
                <a:latin typeface="Arial" panose="020B0604020202020204" pitchFamily="34" charset="0"/>
                <a:cs typeface="Arial" panose="020B0604020202020204" pitchFamily="34" charset="0"/>
              </a:rPr>
              <a:t> </a:t>
            </a:r>
            <a:endParaRPr lang="en-US">
              <a:latin typeface="Arial" panose="020B0604020202020204" pitchFamily="34" charset="0"/>
              <a:cs typeface="Arial" panose="020B0604020202020204" pitchFamily="34" charset="0"/>
            </a:endParaRPr>
          </a:p>
        </c:rich>
      </c:tx>
      <c:layout>
        <c:manualLayout>
          <c:xMode val="edge"/>
          <c:yMode val="edge"/>
          <c:x val="0.38834464592603057"/>
          <c:y val="2.22222222222222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A0000"/>
          </a:soli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265287890046578E-3"/>
          <c:y val="0.23433333333333334"/>
          <c:w val="0.99322004390153829"/>
          <c:h val="0.50790813648293953"/>
        </c:manualLayout>
      </c:layout>
      <c:barChart>
        <c:barDir val="col"/>
        <c:grouping val="clustered"/>
        <c:varyColors val="0"/>
        <c:ser>
          <c:idx val="0"/>
          <c:order val="0"/>
          <c:tx>
            <c:strRef>
              <c:f>Sheet1!$AP$3</c:f>
              <c:strCache>
                <c:ptCount val="1"/>
                <c:pt idx="0">
                  <c:v>Total</c:v>
                </c:pt>
              </c:strCache>
            </c:strRef>
          </c:tx>
          <c:spPr>
            <a:solidFill>
              <a:srgbClr val="8A0000"/>
            </a:solidFill>
            <a:ln>
              <a:solidFill>
                <a:schemeClr val="bg1">
                  <a:lumMod val="75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Sheet1!$AO$4:$AO$12</c:f>
              <c:strCache>
                <c:ptCount val="8"/>
                <c:pt idx="0">
                  <c:v>Delivery</c:v>
                </c:pt>
                <c:pt idx="1">
                  <c:v>Finance</c:v>
                </c:pt>
                <c:pt idx="2">
                  <c:v>HR</c:v>
                </c:pt>
                <c:pt idx="3">
                  <c:v>Planning</c:v>
                </c:pt>
                <c:pt idx="4">
                  <c:v>Production</c:v>
                </c:pt>
                <c:pt idx="5">
                  <c:v>Purchasing</c:v>
                </c:pt>
                <c:pt idx="6">
                  <c:v>QA</c:v>
                </c:pt>
                <c:pt idx="7">
                  <c:v>Warehouse</c:v>
                </c:pt>
              </c:strCache>
            </c:strRef>
          </c:cat>
          <c:val>
            <c:numRef>
              <c:f>Sheet1!$AP$4:$AP$12</c:f>
              <c:numCache>
                <c:formatCode>General</c:formatCode>
                <c:ptCount val="8"/>
                <c:pt idx="0">
                  <c:v>0</c:v>
                </c:pt>
                <c:pt idx="1">
                  <c:v>2</c:v>
                </c:pt>
                <c:pt idx="2">
                  <c:v>0</c:v>
                </c:pt>
                <c:pt idx="3">
                  <c:v>0</c:v>
                </c:pt>
                <c:pt idx="4">
                  <c:v>0</c:v>
                </c:pt>
                <c:pt idx="5">
                  <c:v>0</c:v>
                </c:pt>
                <c:pt idx="6">
                  <c:v>0</c:v>
                </c:pt>
                <c:pt idx="7">
                  <c:v>1</c:v>
                </c:pt>
              </c:numCache>
            </c:numRef>
          </c:val>
          <c:extLst>
            <c:ext xmlns:c16="http://schemas.microsoft.com/office/drawing/2014/chart" uri="{C3380CC4-5D6E-409C-BE32-E72D297353CC}">
              <c16:uniqueId val="{00000000-0E44-4474-B5C0-447DDFF0B90C}"/>
            </c:ext>
          </c:extLst>
        </c:ser>
        <c:dLbls>
          <c:dLblPos val="outEnd"/>
          <c:showLegendKey val="0"/>
          <c:showVal val="1"/>
          <c:showCatName val="0"/>
          <c:showSerName val="0"/>
          <c:showPercent val="0"/>
          <c:showBubbleSize val="0"/>
        </c:dLbls>
        <c:gapWidth val="219"/>
        <c:overlap val="-27"/>
        <c:axId val="1052350720"/>
        <c:axId val="1052350304"/>
      </c:barChart>
      <c:catAx>
        <c:axId val="1052350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350304"/>
        <c:crosses val="autoZero"/>
        <c:auto val="1"/>
        <c:lblAlgn val="ctr"/>
        <c:lblOffset val="100"/>
        <c:noMultiLvlLbl val="0"/>
      </c:catAx>
      <c:valAx>
        <c:axId val="1052350304"/>
        <c:scaling>
          <c:orientation val="minMax"/>
        </c:scaling>
        <c:delete val="1"/>
        <c:axPos val="l"/>
        <c:numFmt formatCode="General" sourceLinked="1"/>
        <c:majorTickMark val="none"/>
        <c:minorTickMark val="none"/>
        <c:tickLblPos val="nextTo"/>
        <c:crossAx val="10523507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8" Type="http://schemas.microsoft.com/office/2007/relationships/hdphoto" Target="../media/hdphoto3.wdp"/><Relationship Id="rId13" Type="http://schemas.openxmlformats.org/officeDocument/2006/relationships/image" Target="../media/image7.png"/><Relationship Id="rId18" Type="http://schemas.openxmlformats.org/officeDocument/2006/relationships/chart" Target="../charts/chart7.xml"/><Relationship Id="rId3" Type="http://schemas.microsoft.com/office/2007/relationships/hdphoto" Target="../media/hdphoto1.wdp"/><Relationship Id="rId7" Type="http://schemas.openxmlformats.org/officeDocument/2006/relationships/image" Target="../media/image6.png"/><Relationship Id="rId12" Type="http://schemas.openxmlformats.org/officeDocument/2006/relationships/chart" Target="../charts/chart5.xml"/><Relationship Id="rId17" Type="http://schemas.openxmlformats.org/officeDocument/2006/relationships/chart" Target="../charts/chart6.xml"/><Relationship Id="rId2" Type="http://schemas.openxmlformats.org/officeDocument/2006/relationships/image" Target="../media/image3.png"/><Relationship Id="rId16" Type="http://schemas.microsoft.com/office/2007/relationships/hdphoto" Target="../media/hdphoto5.wdp"/><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chart" Target="../charts/chart4.xml"/><Relationship Id="rId5" Type="http://schemas.microsoft.com/office/2007/relationships/hdphoto" Target="../media/hdphoto2.wdp"/><Relationship Id="rId15" Type="http://schemas.openxmlformats.org/officeDocument/2006/relationships/image" Target="../media/image8.png"/><Relationship Id="rId10" Type="http://schemas.openxmlformats.org/officeDocument/2006/relationships/chart" Target="../charts/chart3.xml"/><Relationship Id="rId4" Type="http://schemas.openxmlformats.org/officeDocument/2006/relationships/image" Target="../media/image4.png"/><Relationship Id="rId9" Type="http://schemas.openxmlformats.org/officeDocument/2006/relationships/chart" Target="../charts/chart2.xml"/><Relationship Id="rId14" Type="http://schemas.microsoft.com/office/2007/relationships/hdphoto" Target="../media/hdphoto4.wdp"/></Relationships>
</file>

<file path=xl/drawings/drawing1.xml><?xml version="1.0" encoding="utf-8"?>
<xdr:wsDr xmlns:xdr="http://schemas.openxmlformats.org/drawingml/2006/spreadsheetDrawing" xmlns:a="http://schemas.openxmlformats.org/drawingml/2006/main">
  <xdr:twoCellAnchor>
    <xdr:from>
      <xdr:col>3</xdr:col>
      <xdr:colOff>47624</xdr:colOff>
      <xdr:row>41</xdr:row>
      <xdr:rowOff>19050</xdr:rowOff>
    </xdr:from>
    <xdr:to>
      <xdr:col>12</xdr:col>
      <xdr:colOff>437029</xdr:colOff>
      <xdr:row>45</xdr:row>
      <xdr:rowOff>38100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4967006" y="6630521"/>
          <a:ext cx="6440582" cy="781050"/>
          <a:chOff x="4257674" y="8324850"/>
          <a:chExt cx="7353301" cy="666750"/>
        </a:xfrm>
      </xdr:grpSpPr>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00000000-0008-0000-0000-000005000000}"/>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49</xdr:row>
      <xdr:rowOff>95250</xdr:rowOff>
    </xdr:from>
    <xdr:to>
      <xdr:col>12</xdr:col>
      <xdr:colOff>456079</xdr:colOff>
      <xdr:row>53</xdr:row>
      <xdr:rowOff>114300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4986056" y="8230721"/>
          <a:ext cx="6440582" cy="781050"/>
          <a:chOff x="4276724" y="9696450"/>
          <a:chExt cx="7353301" cy="666750"/>
        </a:xfrm>
      </xdr:grpSpPr>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00000000-0008-0000-0000-000009000000}"/>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55</xdr:row>
      <xdr:rowOff>47625</xdr:rowOff>
    </xdr:from>
    <xdr:to>
      <xdr:col>12</xdr:col>
      <xdr:colOff>420024</xdr:colOff>
      <xdr:row>59</xdr:row>
      <xdr:rowOff>133350</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5005107" y="9326096"/>
          <a:ext cx="6385476" cy="847725"/>
          <a:chOff x="4295775" y="10620375"/>
          <a:chExt cx="7334250" cy="733425"/>
        </a:xfrm>
      </xdr:grpSpPr>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00000000-0008-0000-0000-00000C000000}"/>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16384</xdr:col>
      <xdr:colOff>6381750</xdr:colOff>
      <xdr:row>5</xdr:row>
      <xdr:rowOff>4762</xdr:rowOff>
    </xdr:from>
    <xdr:to>
      <xdr:col>16384</xdr:col>
      <xdr:colOff>10953750</xdr:colOff>
      <xdr:row>20</xdr:row>
      <xdr:rowOff>157162</xdr:rowOff>
    </xdr:to>
    <xdr:graphicFrame macro="">
      <xdr:nvGraphicFramePr>
        <xdr:cNvPr id="2" name="Chart 2">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57150</xdr:colOff>
          <xdr:row>0</xdr:row>
          <xdr:rowOff>19050</xdr:rowOff>
        </xdr:from>
        <xdr:to>
          <xdr:col>4</xdr:col>
          <xdr:colOff>0</xdr:colOff>
          <xdr:row>1</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19050</xdr:rowOff>
        </xdr:from>
        <xdr:to>
          <xdr:col>2</xdr:col>
          <xdr:colOff>19050</xdr:colOff>
          <xdr:row>1</xdr:row>
          <xdr:rowOff>19050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Full Screen</a:t>
              </a:r>
            </a:p>
          </xdr:txBody>
        </xdr:sp>
        <xdr:clientData fPrintsWithSheet="0"/>
      </xdr:twoCellAnchor>
    </mc:Choice>
    <mc:Fallback/>
  </mc:AlternateContent>
  <xdr:twoCellAnchor editAs="oneCell">
    <xdr:from>
      <xdr:col>0</xdr:col>
      <xdr:colOff>71439</xdr:colOff>
      <xdr:row>5</xdr:row>
      <xdr:rowOff>71437</xdr:rowOff>
    </xdr:from>
    <xdr:to>
      <xdr:col>1</xdr:col>
      <xdr:colOff>343291</xdr:colOff>
      <xdr:row>10</xdr:row>
      <xdr:rowOff>97631</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duotone>
            <a:schemeClr val="accent3">
              <a:shade val="45000"/>
              <a:satMod val="135000"/>
            </a:schemeClr>
            <a:prstClr val="white"/>
          </a:duotone>
          <a:extLst>
            <a:ext uri="{BEBA8EAE-BF5A-486C-A8C5-ECC9F3942E4B}">
              <a14:imgProps xmlns:a14="http://schemas.microsoft.com/office/drawing/2010/main">
                <a14:imgLayer r:embed="rId3">
                  <a14:imgEffect>
                    <a14:backgroundRemoval t="0" b="100000" l="0" r="100000">
                      <a14:foregroundMark x1="43162" y1="12558" x2="43162" y2="12558"/>
                      <a14:foregroundMark x1="59402" y1="34419" x2="59402" y2="34419"/>
                      <a14:foregroundMark x1="79915" y1="21860" x2="79915" y2="21860"/>
                      <a14:foregroundMark x1="92735" y1="49767" x2="92735" y2="49767"/>
                      <a14:foregroundMark x1="70940" y1="69767" x2="70940" y2="69767"/>
                      <a14:foregroundMark x1="42735" y1="48372" x2="42735" y2="48372"/>
                      <a14:foregroundMark x1="42735" y1="33023" x2="42735" y2="33023"/>
                      <a14:foregroundMark x1="17094" y1="34419" x2="17094" y2="34419"/>
                      <a14:foregroundMark x1="12393" y1="60930" x2="12393" y2="60930"/>
                    </a14:backgroundRemoval>
                  </a14:imgEffect>
                </a14:imgLayer>
              </a14:imgProps>
            </a:ext>
            <a:ext uri="{28A0092B-C50C-407E-A947-70E740481C1C}">
              <a14:useLocalDpi xmlns:a14="http://schemas.microsoft.com/office/drawing/2010/main" val="0"/>
            </a:ext>
          </a:extLst>
        </a:blip>
        <a:stretch>
          <a:fillRect/>
        </a:stretch>
      </xdr:blipFill>
      <xdr:spPr>
        <a:xfrm>
          <a:off x="71439" y="1119187"/>
          <a:ext cx="855258" cy="869157"/>
        </a:xfrm>
        <a:prstGeom prst="rect">
          <a:avLst/>
        </a:prstGeom>
      </xdr:spPr>
    </xdr:pic>
    <xdr:clientData/>
  </xdr:twoCellAnchor>
  <xdr:twoCellAnchor editAs="oneCell">
    <xdr:from>
      <xdr:col>0</xdr:col>
      <xdr:colOff>0</xdr:colOff>
      <xdr:row>15</xdr:row>
      <xdr:rowOff>154782</xdr:rowOff>
    </xdr:from>
    <xdr:to>
      <xdr:col>1</xdr:col>
      <xdr:colOff>472598</xdr:colOff>
      <xdr:row>22</xdr:row>
      <xdr:rowOff>16192</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4" cstate="print">
          <a:duotone>
            <a:schemeClr val="accent2">
              <a:shade val="45000"/>
              <a:satMod val="135000"/>
            </a:schemeClr>
            <a:prstClr val="white"/>
          </a:duotone>
          <a:extLst>
            <a:ext uri="{BEBA8EAE-BF5A-486C-A8C5-ECC9F3942E4B}">
              <a14:imgProps xmlns:a14="http://schemas.microsoft.com/office/drawing/2010/main">
                <a14:imgLayer r:embed="rId5">
                  <a14:imgEffect>
                    <a14:brightnessContrast contrast="-44000"/>
                  </a14:imgEffect>
                </a14:imgLayer>
              </a14:imgProps>
            </a:ext>
            <a:ext uri="{28A0092B-C50C-407E-A947-70E740481C1C}">
              <a14:useLocalDpi xmlns:a14="http://schemas.microsoft.com/office/drawing/2010/main" val="0"/>
            </a:ext>
          </a:extLst>
        </a:blip>
        <a:srcRect l="18543" r="18543"/>
        <a:stretch/>
      </xdr:blipFill>
      <xdr:spPr>
        <a:xfrm>
          <a:off x="0" y="2869407"/>
          <a:ext cx="1056004" cy="1035843"/>
        </a:xfrm>
        <a:prstGeom prst="rect">
          <a:avLst/>
        </a:prstGeom>
      </xdr:spPr>
    </xdr:pic>
    <xdr:clientData/>
  </xdr:twoCellAnchor>
  <xdr:twoCellAnchor editAs="oneCell">
    <xdr:from>
      <xdr:col>0</xdr:col>
      <xdr:colOff>95250</xdr:colOff>
      <xdr:row>27</xdr:row>
      <xdr:rowOff>47625</xdr:rowOff>
    </xdr:from>
    <xdr:to>
      <xdr:col>1</xdr:col>
      <xdr:colOff>400526</xdr:colOff>
      <xdr:row>32</xdr:row>
      <xdr:rowOff>137158</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rotWithShape="1">
        <a:blip xmlns:r="http://schemas.openxmlformats.org/officeDocument/2006/relationships" r:embed="rId6" cstate="print">
          <a:duotone>
            <a:schemeClr val="accent6">
              <a:shade val="45000"/>
              <a:satMod val="135000"/>
            </a:schemeClr>
            <a:prstClr val="white"/>
          </a:duotone>
          <a:extLst>
            <a:ext uri="{28A0092B-C50C-407E-A947-70E740481C1C}">
              <a14:useLocalDpi xmlns:a14="http://schemas.microsoft.com/office/drawing/2010/main" val="0"/>
            </a:ext>
          </a:extLst>
        </a:blip>
        <a:srcRect l="16499" t="18400" r="18914" b="19734"/>
        <a:stretch/>
      </xdr:blipFill>
      <xdr:spPr>
        <a:xfrm>
          <a:off x="95250" y="4762500"/>
          <a:ext cx="881062" cy="928686"/>
        </a:xfrm>
        <a:prstGeom prst="rect">
          <a:avLst/>
        </a:prstGeom>
      </xdr:spPr>
    </xdr:pic>
    <xdr:clientData/>
  </xdr:twoCellAnchor>
  <xdr:twoCellAnchor editAs="oneCell">
    <xdr:from>
      <xdr:col>0</xdr:col>
      <xdr:colOff>23813</xdr:colOff>
      <xdr:row>38</xdr:row>
      <xdr:rowOff>11902</xdr:rowOff>
    </xdr:from>
    <xdr:to>
      <xdr:col>1</xdr:col>
      <xdr:colOff>437198</xdr:colOff>
      <xdr:row>44</xdr:row>
      <xdr:rowOff>57378</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rotWithShape="1">
        <a:blip xmlns:r="http://schemas.openxmlformats.org/officeDocument/2006/relationships" r:embed="rId7" cstate="print">
          <a:duotone>
            <a:schemeClr val="accent3">
              <a:shade val="45000"/>
              <a:satMod val="135000"/>
            </a:schemeClr>
            <a:prstClr val="white"/>
          </a:duotone>
          <a:extLst>
            <a:ext uri="{BEBA8EAE-BF5A-486C-A8C5-ECC9F3942E4B}">
              <a14:imgProps xmlns:a14="http://schemas.microsoft.com/office/drawing/2010/main">
                <a14:imgLayer r:embed="rId8">
                  <a14:imgEffect>
                    <a14:backgroundRemoval t="2939" b="95815" l="378" r="100000">
                      <a14:foregroundMark x1="57179" y1="30543" x2="57179" y2="30543"/>
                      <a14:foregroundMark x1="30479" y1="27337" x2="30479" y2="27337"/>
                      <a14:foregroundMark x1="29849" y1="30810" x2="57809" y2="28406"/>
                      <a14:foregroundMark x1="67254" y1="26803" x2="73678" y2="32146"/>
                      <a14:foregroundMark x1="58690" y1="59751" x2="58690" y2="59751"/>
                      <a14:foregroundMark x1="80605" y1="38201" x2="80605" y2="38201"/>
                      <a14:foregroundMark x1="26071" y1="41318" x2="26071" y2="41318"/>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l="15742" t="14228" r="12037" b="22538"/>
        <a:stretch/>
      </xdr:blipFill>
      <xdr:spPr>
        <a:xfrm>
          <a:off x="23813" y="6560340"/>
          <a:ext cx="1012031" cy="1037981"/>
        </a:xfrm>
        <a:prstGeom prst="rect">
          <a:avLst/>
        </a:prstGeom>
      </xdr:spPr>
    </xdr:pic>
    <xdr:clientData/>
  </xdr:twoCellAnchor>
  <xdr:twoCellAnchor>
    <xdr:from>
      <xdr:col>10</xdr:col>
      <xdr:colOff>976313</xdr:colOff>
      <xdr:row>9</xdr:row>
      <xdr:rowOff>107156</xdr:rowOff>
    </xdr:from>
    <xdr:to>
      <xdr:col>17</xdr:col>
      <xdr:colOff>559593</xdr:colOff>
      <xdr:row>27</xdr:row>
      <xdr:rowOff>119060</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18</xdr:col>
      <xdr:colOff>71757</xdr:colOff>
      <xdr:row>10</xdr:row>
      <xdr:rowOff>142875</xdr:rowOff>
    </xdr:from>
    <xdr:to>
      <xdr:col>22</xdr:col>
      <xdr:colOff>554831</xdr:colOff>
      <xdr:row>19</xdr:row>
      <xdr:rowOff>16192</xdr:rowOff>
    </xdr:to>
    <mc:AlternateContent xmlns:mc="http://schemas.openxmlformats.org/markup-compatibility/2006" xmlns:a14="http://schemas.microsoft.com/office/drawing/2010/main">
      <mc:Choice Requires="a14">
        <xdr:graphicFrame macro="">
          <xdr:nvGraphicFramePr>
            <xdr:cNvPr id="15" name="Department 1">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12942413" y="2024063"/>
              <a:ext cx="3042918" cy="13811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71438</xdr:colOff>
      <xdr:row>23</xdr:row>
      <xdr:rowOff>47626</xdr:rowOff>
    </xdr:from>
    <xdr:to>
      <xdr:col>22</xdr:col>
      <xdr:colOff>548640</xdr:colOff>
      <xdr:row>45</xdr:row>
      <xdr:rowOff>19527</xdr:rowOff>
    </xdr:to>
    <mc:AlternateContent xmlns:mc="http://schemas.openxmlformats.org/markup-compatibility/2006" xmlns:a14="http://schemas.microsoft.com/office/drawing/2010/main">
      <mc:Choice Requires="a14">
        <xdr:graphicFrame macro="">
          <xdr:nvGraphicFramePr>
            <xdr:cNvPr id="16" name="Employee Name">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Employee Name"/>
            </a:graphicData>
          </a:graphic>
        </xdr:graphicFrame>
      </mc:Choice>
      <mc:Fallback xmlns="">
        <xdr:sp macro="" textlink="">
          <xdr:nvSpPr>
            <xdr:cNvPr id="0" name=""/>
            <xdr:cNvSpPr>
              <a:spLocks noTextEdit="1"/>
            </xdr:cNvSpPr>
          </xdr:nvSpPr>
          <xdr:spPr>
            <a:xfrm>
              <a:off x="12942094" y="3452813"/>
              <a:ext cx="3031331" cy="42743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166687</xdr:colOff>
      <xdr:row>28</xdr:row>
      <xdr:rowOff>47624</xdr:rowOff>
    </xdr:from>
    <xdr:to>
      <xdr:col>9</xdr:col>
      <xdr:colOff>345281</xdr:colOff>
      <xdr:row>44</xdr:row>
      <xdr:rowOff>154391</xdr:rowOff>
    </xdr:to>
    <xdr:graphicFrame macro="">
      <xdr:nvGraphicFramePr>
        <xdr:cNvPr id="20" name="Chart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357187</xdr:colOff>
      <xdr:row>28</xdr:row>
      <xdr:rowOff>59104</xdr:rowOff>
    </xdr:from>
    <xdr:to>
      <xdr:col>17</xdr:col>
      <xdr:colOff>559595</xdr:colOff>
      <xdr:row>44</xdr:row>
      <xdr:rowOff>154782</xdr:rowOff>
    </xdr:to>
    <xdr:graphicFrame macro="">
      <xdr:nvGraphicFramePr>
        <xdr:cNvPr id="22" name="Chart 21">
          <a:extLst>
            <a:ext uri="{FF2B5EF4-FFF2-40B4-BE49-F238E27FC236}">
              <a16:creationId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476250</xdr:colOff>
      <xdr:row>28</xdr:row>
      <xdr:rowOff>47625</xdr:rowOff>
    </xdr:from>
    <xdr:to>
      <xdr:col>13</xdr:col>
      <xdr:colOff>238124</xdr:colOff>
      <xdr:row>44</xdr:row>
      <xdr:rowOff>154393</xdr:rowOff>
    </xdr:to>
    <xdr:graphicFrame macro="">
      <xdr:nvGraphicFramePr>
        <xdr:cNvPr id="23" name="Chart 22">
          <a:extLst>
            <a:ext uri="{FF2B5EF4-FFF2-40B4-BE49-F238E27FC236}">
              <a16:creationId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9</xdr:col>
      <xdr:colOff>559597</xdr:colOff>
      <xdr:row>40</xdr:row>
      <xdr:rowOff>142874</xdr:rowOff>
    </xdr:from>
    <xdr:to>
      <xdr:col>10</xdr:col>
      <xdr:colOff>554709</xdr:colOff>
      <xdr:row>44</xdr:row>
      <xdr:rowOff>97631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3" cstate="print">
          <a:duotone>
            <a:schemeClr val="accent3">
              <a:shade val="45000"/>
              <a:satMod val="135000"/>
            </a:schemeClr>
            <a:prstClr val="white"/>
          </a:duotone>
          <a:extLst>
            <a:ext uri="{BEBA8EAE-BF5A-486C-A8C5-ECC9F3942E4B}">
              <a14:imgProps xmlns:a14="http://schemas.microsoft.com/office/drawing/2010/main">
                <a14:imgLayer r:embed="rId14">
                  <a14:imgEffect>
                    <a14:backgroundRemoval t="9872" b="76795" l="0" r="45200">
                      <a14:foregroundMark x1="22000" y1="25897" x2="22000" y2="25897"/>
                    </a14:backgroundRemoval>
                  </a14:imgEffect>
                  <a14:imgEffect>
                    <a14:colorTemperature colorTemp="11200"/>
                  </a14:imgEffect>
                </a14:imgLayer>
              </a14:imgProps>
            </a:ext>
            <a:ext uri="{28A0092B-C50C-407E-A947-70E740481C1C}">
              <a14:useLocalDpi xmlns:a14="http://schemas.microsoft.com/office/drawing/2010/main" val="0"/>
            </a:ext>
          </a:extLst>
        </a:blip>
        <a:srcRect t="10897" r="55535" b="22436"/>
        <a:stretch/>
      </xdr:blipFill>
      <xdr:spPr>
        <a:xfrm>
          <a:off x="6524628" y="7024687"/>
          <a:ext cx="719012" cy="631032"/>
        </a:xfrm>
        <a:prstGeom prst="rect">
          <a:avLst/>
        </a:prstGeom>
      </xdr:spPr>
    </xdr:pic>
    <xdr:clientData/>
  </xdr:twoCellAnchor>
  <xdr:twoCellAnchor editAs="oneCell">
    <xdr:from>
      <xdr:col>12</xdr:col>
      <xdr:colOff>654843</xdr:colOff>
      <xdr:row>40</xdr:row>
      <xdr:rowOff>115949</xdr:rowOff>
    </xdr:from>
    <xdr:to>
      <xdr:col>13</xdr:col>
      <xdr:colOff>172109</xdr:colOff>
      <xdr:row>44</xdr:row>
      <xdr:rowOff>134303</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rotWithShape="1">
        <a:blip xmlns:r="http://schemas.openxmlformats.org/officeDocument/2006/relationships" r:embed="rId15" cstate="print">
          <a:duotone>
            <a:schemeClr val="accent2">
              <a:shade val="45000"/>
              <a:satMod val="135000"/>
            </a:schemeClr>
            <a:prstClr val="white"/>
          </a:duotone>
          <a:extLst>
            <a:ext uri="{BEBA8EAE-BF5A-486C-A8C5-ECC9F3942E4B}">
              <a14:imgProps xmlns:a14="http://schemas.microsoft.com/office/drawing/2010/main">
                <a14:imgLayer r:embed="rId16">
                  <a14:imgEffect>
                    <a14:backgroundRemoval t="11154" b="78590" l="54100" r="100000"/>
                  </a14:imgEffect>
                  <a14:imgEffect>
                    <a14:sharpenSoften amount="100000"/>
                  </a14:imgEffect>
                  <a14:imgEffect>
                    <a14:colorTemperature colorTemp="7387"/>
                  </a14:imgEffect>
                  <a14:imgEffect>
                    <a14:saturation sat="108000"/>
                  </a14:imgEffect>
                  <a14:imgEffect>
                    <a14:brightnessContrast bright="12000" contrast="-73000"/>
                  </a14:imgEffect>
                </a14:imgLayer>
              </a14:imgProps>
            </a:ext>
            <a:ext uri="{28A0092B-C50C-407E-A947-70E740481C1C}">
              <a14:useLocalDpi xmlns:a14="http://schemas.microsoft.com/office/drawing/2010/main" val="0"/>
            </a:ext>
          </a:extLst>
        </a:blip>
        <a:srcRect l="54259" t="11282" b="21732"/>
        <a:stretch/>
      </xdr:blipFill>
      <xdr:spPr>
        <a:xfrm>
          <a:off x="9132093" y="6997762"/>
          <a:ext cx="716464" cy="669864"/>
        </a:xfrm>
        <a:prstGeom prst="rect">
          <a:avLst/>
        </a:prstGeom>
        <a:noFill/>
        <a:ln>
          <a:noFill/>
        </a:ln>
      </xdr:spPr>
    </xdr:pic>
    <xdr:clientData/>
  </xdr:twoCellAnchor>
  <xdr:twoCellAnchor>
    <xdr:from>
      <xdr:col>4</xdr:col>
      <xdr:colOff>154781</xdr:colOff>
      <xdr:row>9</xdr:row>
      <xdr:rowOff>90184</xdr:rowOff>
    </xdr:from>
    <xdr:to>
      <xdr:col>10</xdr:col>
      <xdr:colOff>869156</xdr:colOff>
      <xdr:row>27</xdr:row>
      <xdr:rowOff>119062</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18</xdr:col>
      <xdr:colOff>71438</xdr:colOff>
      <xdr:row>19</xdr:row>
      <xdr:rowOff>47625</xdr:rowOff>
    </xdr:from>
    <xdr:to>
      <xdr:col>22</xdr:col>
      <xdr:colOff>554831</xdr:colOff>
      <xdr:row>23</xdr:row>
      <xdr:rowOff>0</xdr:rowOff>
    </xdr:to>
    <mc:AlternateContent xmlns:mc="http://schemas.openxmlformats.org/markup-compatibility/2006" xmlns:a14="http://schemas.microsoft.com/office/drawing/2010/main">
      <mc:Choice Requires="a14">
        <xdr:graphicFrame macro="">
          <xdr:nvGraphicFramePr>
            <xdr:cNvPr id="25" name="Case Decision">
              <a:extLst>
                <a:ext uri="{FF2B5EF4-FFF2-40B4-BE49-F238E27FC236}">
                  <a16:creationId xmlns:a16="http://schemas.microsoft.com/office/drawing/2014/main" id="{00000000-0008-0000-0100-000019000000}"/>
                </a:ext>
              </a:extLst>
            </xdr:cNvPr>
            <xdr:cNvGraphicFramePr/>
          </xdr:nvGraphicFramePr>
          <xdr:xfrm>
            <a:off x="0" y="0"/>
            <a:ext cx="0" cy="0"/>
          </xdr:xfrm>
          <a:graphic>
            <a:graphicData uri="http://schemas.microsoft.com/office/drawing/2010/slicer">
              <sle:slicer xmlns:sle="http://schemas.microsoft.com/office/drawing/2010/slicer" name="Case Decision"/>
            </a:graphicData>
          </a:graphic>
        </xdr:graphicFrame>
      </mc:Choice>
      <mc:Fallback xmlns="">
        <xdr:sp macro="" textlink="">
          <xdr:nvSpPr>
            <xdr:cNvPr id="0" name=""/>
            <xdr:cNvSpPr>
              <a:spLocks noTextEdit="1"/>
            </xdr:cNvSpPr>
          </xdr:nvSpPr>
          <xdr:spPr>
            <a:xfrm>
              <a:off x="12942094" y="3429000"/>
              <a:ext cx="3043237" cy="619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154781</xdr:colOff>
      <xdr:row>2</xdr:row>
      <xdr:rowOff>11906</xdr:rowOff>
    </xdr:from>
    <xdr:to>
      <xdr:col>17</xdr:col>
      <xdr:colOff>571500</xdr:colOff>
      <xdr:row>8</xdr:row>
      <xdr:rowOff>154781</xdr:rowOff>
    </xdr:to>
    <xdr:graphicFrame macro="">
      <xdr:nvGraphicFramePr>
        <xdr:cNvPr id="26" name="Chart 25">
          <a:extLst>
            <a:ext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18</xdr:col>
      <xdr:colOff>71438</xdr:colOff>
      <xdr:row>2</xdr:row>
      <xdr:rowOff>23812</xdr:rowOff>
    </xdr:from>
    <xdr:to>
      <xdr:col>22</xdr:col>
      <xdr:colOff>553403</xdr:colOff>
      <xdr:row>10</xdr:row>
      <xdr:rowOff>97630</xdr:rowOff>
    </xdr:to>
    <mc:AlternateContent xmlns:mc="http://schemas.openxmlformats.org/markup-compatibility/2006" xmlns:tsle="http://schemas.microsoft.com/office/drawing/2012/timeslicer">
      <mc:Choice Requires="tsle">
        <xdr:graphicFrame macro="">
          <xdr:nvGraphicFramePr>
            <xdr:cNvPr id="27" name="Date">
              <a:extLst>
                <a:ext uri="{FF2B5EF4-FFF2-40B4-BE49-F238E27FC236}">
                  <a16:creationId xmlns:a16="http://schemas.microsoft.com/office/drawing/2014/main" id="{00000000-0008-0000-0100-00001B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2942094" y="571500"/>
              <a:ext cx="3026569" cy="141684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85.740350115739" createdVersion="6" refreshedVersion="6" minRefreshableVersion="3" recordCount="197" xr:uid="{BCBFAAD4-5635-4AFE-A4BD-2CFCBF99254A}">
  <cacheSource type="worksheet">
    <worksheetSource name="COV_TRACK"/>
  </cacheSource>
  <cacheFields count="13">
    <cacheField name="Date" numFmtId="166">
      <sharedItems containsSemiMixedTypes="0" containsNonDate="0" containsDate="1" containsString="0" minDate="2020-01-03T00:00:00" maxDate="2020-12-30T00:00:00" count="154">
        <d v="2020-02-01T00:00:00"/>
        <d v="2020-10-22T00:00:00"/>
        <d v="2020-06-12T00:00:00"/>
        <d v="2020-11-25T00:00:00"/>
        <d v="2020-05-19T00:00:00"/>
        <d v="2020-09-20T00:00:00"/>
        <d v="2020-12-17T00:00:00"/>
        <d v="2020-01-29T00:00:00"/>
        <d v="2020-08-22T00:00:00"/>
        <d v="2020-02-13T00:00:00"/>
        <d v="2020-06-18T00:00:00"/>
        <d v="2020-11-08T00:00:00"/>
        <d v="2020-11-10T00:00:00"/>
        <d v="2020-03-25T00:00:00"/>
        <d v="2020-12-22T00:00:00"/>
        <d v="2020-01-31T00:00:00"/>
        <d v="2020-08-19T00:00:00"/>
        <d v="2020-02-23T00:00:00"/>
        <d v="2020-09-04T00:00:00"/>
        <d v="2020-10-24T00:00:00"/>
        <d v="2020-03-01T00:00:00"/>
        <d v="2020-09-02T00:00:00"/>
        <d v="2020-11-27T00:00:00"/>
        <d v="2020-12-06T00:00:00"/>
        <d v="2020-03-10T00:00:00"/>
        <d v="2020-12-18T00:00:00"/>
        <d v="2020-12-19T00:00:00"/>
        <d v="2020-07-07T00:00:00"/>
        <d v="2020-07-06T00:00:00"/>
        <d v="2020-04-11T00:00:00"/>
        <d v="2020-01-22T00:00:00"/>
        <d v="2020-12-24T00:00:00"/>
        <d v="2020-10-18T00:00:00"/>
        <d v="2020-11-22T00:00:00"/>
        <d v="2020-12-20T00:00:00"/>
        <d v="2020-06-27T00:00:00"/>
        <d v="2020-03-29T00:00:00"/>
        <d v="2020-06-08T00:00:00"/>
        <d v="2020-08-05T00:00:00"/>
        <d v="2020-08-25T00:00:00"/>
        <d v="2020-08-04T00:00:00"/>
        <d v="2020-09-17T00:00:00"/>
        <d v="2020-10-13T00:00:00"/>
        <d v="2020-04-07T00:00:00"/>
        <d v="2020-06-20T00:00:00"/>
        <d v="2020-10-19T00:00:00"/>
        <d v="2020-10-29T00:00:00"/>
        <d v="2020-07-20T00:00:00"/>
        <d v="2020-07-15T00:00:00"/>
        <d v="2020-10-07T00:00:00"/>
        <d v="2020-10-11T00:00:00"/>
        <d v="2020-06-26T00:00:00"/>
        <d v="2020-11-14T00:00:00"/>
        <d v="2020-08-18T00:00:00"/>
        <d v="2020-03-18T00:00:00"/>
        <d v="2020-08-10T00:00:00"/>
        <d v="2020-04-26T00:00:00"/>
        <d v="2020-10-26T00:00:00"/>
        <d v="2020-07-30T00:00:00"/>
        <d v="2020-01-15T00:00:00"/>
        <d v="2020-06-07T00:00:00"/>
        <d v="2020-02-02T00:00:00"/>
        <d v="2020-09-19T00:00:00"/>
        <d v="2020-08-27T00:00:00"/>
        <d v="2020-09-12T00:00:00"/>
        <d v="2020-04-03T00:00:00"/>
        <d v="2020-02-25T00:00:00"/>
        <d v="2020-04-09T00:00:00"/>
        <d v="2020-05-25T00:00:00"/>
        <d v="2020-03-13T00:00:00"/>
        <d v="2020-08-26T00:00:00"/>
        <d v="2020-06-17T00:00:00"/>
        <d v="2020-10-12T00:00:00"/>
        <d v="2020-01-06T00:00:00"/>
        <d v="2020-08-16T00:00:00"/>
        <d v="2020-03-24T00:00:00"/>
        <d v="2020-04-17T00:00:00"/>
        <d v="2020-07-26T00:00:00"/>
        <d v="2020-07-24T00:00:00"/>
        <d v="2020-02-27T00:00:00"/>
        <d v="2020-12-13T00:00:00"/>
        <d v="2020-07-05T00:00:00"/>
        <d v="2020-03-30T00:00:00"/>
        <d v="2020-09-07T00:00:00"/>
        <d v="2020-09-29T00:00:00"/>
        <d v="2020-11-02T00:00:00"/>
        <d v="2020-04-15T00:00:00"/>
        <d v="2020-09-23T00:00:00"/>
        <d v="2020-11-29T00:00:00"/>
        <d v="2020-10-21T00:00:00"/>
        <d v="2020-01-30T00:00:00"/>
        <d v="2020-04-02T00:00:00"/>
        <d v="2020-02-28T00:00:00"/>
        <d v="2020-11-18T00:00:00"/>
        <d v="2020-01-19T00:00:00"/>
        <d v="2020-04-08T00:00:00"/>
        <d v="2020-12-29T00:00:00"/>
        <d v="2020-12-14T00:00:00"/>
        <d v="2020-03-11T00:00:00"/>
        <d v="2020-11-11T00:00:00"/>
        <d v="2020-02-10T00:00:00"/>
        <d v="2020-07-08T00:00:00"/>
        <d v="2020-04-01T00:00:00"/>
        <d v="2020-07-23T00:00:00"/>
        <d v="2020-12-01T00:00:00"/>
        <d v="2020-06-23T00:00:00"/>
        <d v="2020-08-03T00:00:00"/>
        <d v="2020-10-06T00:00:00"/>
        <d v="2020-09-21T00:00:00"/>
        <d v="2020-10-17T00:00:00"/>
        <d v="2020-10-16T00:00:00"/>
        <d v="2020-01-24T00:00:00"/>
        <d v="2020-05-21T00:00:00"/>
        <d v="2020-04-10T00:00:00"/>
        <d v="2020-02-07T00:00:00"/>
        <d v="2020-10-31T00:00:00"/>
        <d v="2020-04-30T00:00:00"/>
        <d v="2020-03-21T00:00:00"/>
        <d v="2020-08-11T00:00:00"/>
        <d v="2020-05-02T00:00:00"/>
        <d v="2020-01-09T00:00:00"/>
        <d v="2020-11-05T00:00:00"/>
        <d v="2020-06-13T00:00:00"/>
        <d v="2020-04-25T00:00:00"/>
        <d v="2020-06-25T00:00:00"/>
        <d v="2020-12-21T00:00:00"/>
        <d v="2020-07-18T00:00:00"/>
        <d v="2020-12-05T00:00:00"/>
        <d v="2020-06-14T00:00:00"/>
        <d v="2020-01-08T00:00:00"/>
        <d v="2020-05-09T00:00:00"/>
        <d v="2020-06-28T00:00:00"/>
        <d v="2020-07-29T00:00:00"/>
        <d v="2020-03-14T00:00:00"/>
        <d v="2020-09-15T00:00:00"/>
        <d v="2020-09-10T00:00:00"/>
        <d v="2020-02-14T00:00:00"/>
        <d v="2020-10-10T00:00:00"/>
        <d v="2020-11-24T00:00:00"/>
        <d v="2020-01-12T00:00:00"/>
        <d v="2020-08-14T00:00:00"/>
        <d v="2020-07-21T00:00:00"/>
        <d v="2020-10-02T00:00:00"/>
        <d v="2020-01-03T00:00:00"/>
        <d v="2020-04-20T00:00:00"/>
        <d v="2020-06-21T00:00:00"/>
        <d v="2020-11-17T00:00:00"/>
        <d v="2020-01-20T00:00:00"/>
        <d v="2020-01-28T00:00:00"/>
        <d v="2020-12-04T00:00:00"/>
        <d v="2020-03-26T00:00:00"/>
        <d v="2020-03-20T00:00:00"/>
        <d v="2020-09-30T00:00:00"/>
        <d v="2020-02-22T00:00:00"/>
      </sharedItems>
      <fieldGroup par="12" base="0">
        <rangePr groupBy="days" startDate="2020-01-03T00:00:00" endDate="2020-12-30T00:00:00"/>
        <groupItems count="368">
          <s v="&lt;01/03/2020"/>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2/30/2020"/>
        </groupItems>
      </fieldGroup>
    </cacheField>
    <cacheField name="Employee Name" numFmtId="0">
      <sharedItems count="94">
        <s v="Employee 65"/>
        <s v="Employee 9"/>
        <s v="Employee 95"/>
        <s v="Employee 49"/>
        <s v="Employee 37"/>
        <s v="Employee 28"/>
        <s v="Employee 24"/>
        <s v="Employee 14"/>
        <s v="Employee 51"/>
        <s v="Employee 5"/>
        <s v="Employee 53"/>
        <s v="Employee 40"/>
        <s v="Employee 13"/>
        <s v="Employee 42"/>
        <s v="Employee 33"/>
        <s v="Employee 38"/>
        <s v="Employee 90"/>
        <s v="Employee 56"/>
        <s v="Employee 62"/>
        <s v="Employee 25"/>
        <s v="Employee 12"/>
        <s v="Employee 63"/>
        <s v="Employee 104"/>
        <s v="Employee 83"/>
        <s v="Employee 60"/>
        <s v="Employee 10"/>
        <s v="Employee 7"/>
        <s v="Employee 85"/>
        <s v="Employee 17"/>
        <s v="Employee 30"/>
        <s v="Employee 57"/>
        <s v="Employee 55"/>
        <s v="Employee 101"/>
        <s v="Employee 36"/>
        <s v="Employee 21"/>
        <s v="Employee 31"/>
        <s v="Employee 41"/>
        <s v="Employee 69"/>
        <s v="Employee 23"/>
        <s v="Employee 29"/>
        <s v="Employee 93"/>
        <s v="Employee 47"/>
        <s v="Employee 18"/>
        <s v="Employee 102"/>
        <s v="Employee 89"/>
        <s v="Employee 103"/>
        <s v="Employee 32"/>
        <s v="Employee 46"/>
        <s v="Employee 72"/>
        <s v="Employee 19"/>
        <s v="Employee 77"/>
        <s v="Employee 79"/>
        <s v="Employee 78"/>
        <s v="Employee 91"/>
        <s v="Employee 26"/>
        <s v="Employee 71"/>
        <s v="Employee 80"/>
        <s v="Employee 75"/>
        <s v="Employee 54"/>
        <s v="Employee 1"/>
        <s v="Employee 86"/>
        <s v="Employee 48"/>
        <s v="Employee 99"/>
        <s v="Employee 92"/>
        <s v="Employee 66"/>
        <s v="Employee 73"/>
        <s v="Employee 11"/>
        <s v="Employee 98"/>
        <s v="Employee 6"/>
        <s v="Employee 43"/>
        <s v="Employee 39"/>
        <s v="Employee 74"/>
        <s v="Employee 97"/>
        <s v="Employee 64"/>
        <s v="Employee 100"/>
        <s v="Employee 45"/>
        <s v="Employee 15"/>
        <s v="Employee 94"/>
        <s v="Employee 2"/>
        <s v="Employee 105"/>
        <s v="Employee 35"/>
        <s v="Employee 76"/>
        <s v="Employee 44"/>
        <s v="Employee 8"/>
        <s v="Employee 88"/>
        <s v="Employee 84"/>
        <s v="Employee 59"/>
        <s v="Employee 20"/>
        <s v="Employee 52"/>
        <s v="Employee 67"/>
        <s v="Employee 70"/>
        <s v="Employee 106"/>
        <s v="Employee 61"/>
        <s v="Employee 4" u="1"/>
      </sharedItems>
    </cacheField>
    <cacheField name="Employee Code" numFmtId="167">
      <sharedItems/>
    </cacheField>
    <cacheField name="Age" numFmtId="1">
      <sharedItems containsSemiMixedTypes="0" containsString="0" containsNumber="1" containsInteger="1" minValue="25" maxValue="38"/>
    </cacheField>
    <cacheField name="Gender" numFmtId="167">
      <sharedItems/>
    </cacheField>
    <cacheField name="Department" numFmtId="167">
      <sharedItems count="9">
        <s v="Warehouse"/>
        <s v="Finance"/>
        <s v="Production"/>
        <s v="Planning"/>
        <s v="Delivery"/>
        <s v="HR"/>
        <s v="Purchasing"/>
        <s v="QA"/>
        <s v="Production " u="1"/>
      </sharedItems>
    </cacheField>
    <cacheField name="TEMP  Cº" numFmtId="165">
      <sharedItems containsSemiMixedTypes="0" containsString="0" containsNumber="1" containsInteger="1" minValue="37" maxValue="40"/>
    </cacheField>
    <cacheField name="Risk Level" numFmtId="0">
      <sharedItems/>
    </cacheField>
    <cacheField name="Wearing Mask" numFmtId="164">
      <sharedItems count="2">
        <s v="Yes"/>
        <s v="No"/>
      </sharedItems>
    </cacheField>
    <cacheField name="1st Degree Family Status?" numFmtId="0">
      <sharedItems/>
    </cacheField>
    <cacheField name="Direct contaced infected members" numFmtId="164">
      <sharedItems/>
    </cacheField>
    <cacheField name="Disease Symptom" numFmtId="165">
      <sharedItems/>
    </cacheField>
    <cacheField name="Months" numFmtId="0" databaseField="0">
      <fieldGroup base="0">
        <rangePr groupBy="months" startDate="2020-01-03T00:00:00" endDate="2020-12-30T00:00:00"/>
        <groupItems count="14">
          <s v="&lt;01/03/2020"/>
          <s v="Jan"/>
          <s v="Feb"/>
          <s v="Mar"/>
          <s v="Apr"/>
          <s v="May"/>
          <s v="Jun"/>
          <s v="Jul"/>
          <s v="Aug"/>
          <s v="Sep"/>
          <s v="Oct"/>
          <s v="Nov"/>
          <s v="Dec"/>
          <s v="&gt;12/30/2020"/>
        </groupItems>
      </fieldGroup>
    </cacheField>
  </cacheFields>
  <extLst>
    <ext xmlns:x14="http://schemas.microsoft.com/office/spreadsheetml/2009/9/main" uri="{725AE2AE-9491-48be-B2B4-4EB974FC3084}">
      <x14:pivotCacheDefinition pivotCacheId="23301009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185.740350347223" createdVersion="6" refreshedVersion="6" minRefreshableVersion="3" recordCount="41" xr:uid="{34BD3E8E-4088-4A38-AF08-2525F411F62F}">
  <cacheSource type="worksheet">
    <worksheetSource name="COV_CASE"/>
  </cacheSource>
  <cacheFields count="23">
    <cacheField name="Date" numFmtId="166">
      <sharedItems containsSemiMixedTypes="0" containsNonDate="0" containsDate="1" containsString="0" minDate="2020-02-16T00:00:00" maxDate="2020-12-31T00:00:00" count="39">
        <d v="2020-05-10T00:00:00"/>
        <d v="2020-08-07T00:00:00"/>
        <d v="2020-04-01T00:00:00"/>
        <d v="2020-03-10T00:00:00"/>
        <d v="2020-03-24T00:00:00"/>
        <d v="2020-04-09T00:00:00"/>
        <d v="2020-04-06T00:00:00"/>
        <d v="2020-10-14T00:00:00"/>
        <d v="2020-07-09T00:00:00"/>
        <d v="2020-06-27T00:00:00"/>
        <d v="2020-08-12T00:00:00"/>
        <d v="2020-04-18T00:00:00"/>
        <d v="2020-10-27T00:00:00"/>
        <d v="2020-08-15T00:00:00"/>
        <d v="2020-10-30T00:00:00"/>
        <d v="2020-02-16T00:00:00"/>
        <d v="2020-06-18T00:00:00"/>
        <d v="2020-03-18T00:00:00"/>
        <d v="2020-09-05T00:00:00"/>
        <d v="2020-12-12T00:00:00"/>
        <d v="2020-08-02T00:00:00"/>
        <d v="2020-04-20T00:00:00"/>
        <d v="2020-08-11T00:00:00"/>
        <d v="2020-10-11T00:00:00"/>
        <d v="2020-05-05T00:00:00"/>
        <d v="2020-09-04T00:00:00"/>
        <d v="2020-08-19T00:00:00"/>
        <d v="2020-06-29T00:00:00"/>
        <d v="2020-06-08T00:00:00"/>
        <d v="2020-04-21T00:00:00"/>
        <d v="2020-11-20T00:00:00"/>
        <d v="2020-06-10T00:00:00"/>
        <d v="2020-03-14T00:00:00"/>
        <d v="2020-11-11T00:00:00"/>
        <d v="2020-09-11T00:00:00"/>
        <d v="2020-06-02T00:00:00"/>
        <d v="2020-12-08T00:00:00"/>
        <d v="2020-12-20T00:00:00"/>
        <d v="2020-12-30T00:00:00" u="1"/>
      </sharedItems>
    </cacheField>
    <cacheField name="Employee Name" numFmtId="0">
      <sharedItems containsBlank="1" count="36">
        <s v="Employee 1"/>
        <s v="Employee 57"/>
        <s v="Employee 14"/>
        <s v="Employee 40"/>
        <s v="Employee 90"/>
        <s v="Employee 56"/>
        <s v="Employee 62"/>
        <s v="Employee 83"/>
        <s v="Employee 10"/>
        <s v="Employee 85"/>
        <s v="Employee 5"/>
        <s v="Employee 60"/>
        <s v="Employee 17"/>
        <s v="Employee 30"/>
        <s v="Employee 36"/>
        <s v="Employee 95"/>
        <s v="Employee 42"/>
        <s v="Employee 41"/>
        <s v="Employee 23"/>
        <s v="Employee 7"/>
        <s v="Employee 74"/>
        <s v="Employee 97"/>
        <s v="Employee 31"/>
        <s v="Employee 64"/>
        <s v="Employee 100"/>
        <s v="Employee 45"/>
        <s v="Employee 104"/>
        <s v="Employee 15"/>
        <s v="Employee 79"/>
        <s v="Employee 37"/>
        <s v="Employee 69"/>
        <s v="Employee 29"/>
        <s v="Employee 33"/>
        <s v="Employee 94"/>
        <s v="Employee 88"/>
        <m u="1"/>
      </sharedItems>
    </cacheField>
    <cacheField name="Employee Code" numFmtId="167">
      <sharedItems/>
    </cacheField>
    <cacheField name="Age" numFmtId="1">
      <sharedItems containsSemiMixedTypes="0" containsString="0" containsNumber="1" containsInteger="1" minValue="25" maxValue="38" count="11">
        <n v="32"/>
        <n v="37"/>
        <n v="28"/>
        <n v="30"/>
        <n v="25"/>
        <n v="36"/>
        <n v="29"/>
        <n v="27"/>
        <n v="38"/>
        <n v="31"/>
        <n v="26"/>
      </sharedItems>
    </cacheField>
    <cacheField name="Gender" numFmtId="167">
      <sharedItems count="3">
        <s v="M"/>
        <s v="F"/>
        <s v="" u="1"/>
      </sharedItems>
    </cacheField>
    <cacheField name="Department" numFmtId="167">
      <sharedItems count="10">
        <s v="QA"/>
        <s v="Purchasing"/>
        <s v="HR"/>
        <s v="Planning"/>
        <s v="Finance"/>
        <s v="Warehouse"/>
        <s v="Production"/>
        <s v="Delivery"/>
        <s v="" u="1"/>
        <s v="Production " u="1"/>
      </sharedItems>
    </cacheField>
    <cacheField name="Department Manpower" numFmtId="1">
      <sharedItems containsSemiMixedTypes="0" containsString="0" containsNumber="1" containsInteger="1" minValue="7" maxValue="18"/>
    </cacheField>
    <cacheField name="Infected Cases %" numFmtId="9">
      <sharedItems containsSemiMixedTypes="0" containsString="0" containsNumber="1" minValue="5.5555555555555552E-2" maxValue="0.14285714285714285"/>
    </cacheField>
    <cacheField name="Covid Test Result" numFmtId="0">
      <sharedItems/>
    </cacheField>
    <cacheField name="Case Decision" numFmtId="0">
      <sharedItems containsBlank="1" count="3">
        <s v="Confirmed"/>
        <s v="Suspected"/>
        <m u="1"/>
      </sharedItems>
    </cacheField>
    <cacheField name="Last Working Day" numFmtId="166">
      <sharedItems containsSemiMixedTypes="0" containsNonDate="0" containsDate="1" containsString="0" minDate="2020-02-15T00:00:00" maxDate="2020-12-18T00:00:00"/>
    </cacheField>
    <cacheField name="Isolation Date" numFmtId="166">
      <sharedItems containsSemiMixedTypes="0" containsNonDate="0" containsDate="1" containsString="0" minDate="2020-02-16T00:00:00" maxDate="2020-12-20T00:00:00"/>
    </cacheField>
    <cacheField name="Isolation Period (In Days)" numFmtId="1">
      <sharedItems containsSemiMixedTypes="0" containsString="0" containsNumber="1" containsInteger="1" minValue="7" maxValue="14"/>
    </cacheField>
    <cacheField name="Isolation Ending Date" numFmtId="166">
      <sharedItems containsSemiMixedTypes="0" containsNonDate="0" containsDate="1" containsString="0" minDate="2020-02-23T00:00:00" maxDate="2021-01-03T00:00:00"/>
    </cacheField>
    <cacheField name="Remain Days" numFmtId="1">
      <sharedItems containsSemiMixedTypes="0" containsString="0" containsNumber="1" containsInteger="1" minValue="0" maxValue="13"/>
    </cacheField>
    <cacheField name="Isolating Completion%" numFmtId="9">
      <sharedItems containsSemiMixedTypes="0" containsString="0" containsNumber="1" minValue="7.1428571428571425E-2" maxValue="1"/>
    </cacheField>
    <cacheField name="Home quarantine" numFmtId="1">
      <sharedItems containsMixedTypes="1" containsNumber="1" containsInteger="1" minValue="1" maxValue="1"/>
    </cacheField>
    <cacheField name="Covid Test Result (After)" numFmtId="0">
      <sharedItems containsBlank="1"/>
    </cacheField>
    <cacheField name="Final Status" numFmtId="0">
      <sharedItems containsBlank="1" count="3">
        <s v="Recovered"/>
        <m/>
        <s v="Isolate" u="1"/>
      </sharedItems>
    </cacheField>
    <cacheField name="Back To Work Date" numFmtId="166">
      <sharedItems containsNonDate="0" containsDate="1" containsString="0" containsBlank="1" minDate="2020-02-26T00:00:00" maxDate="2020-12-08T00:00:00"/>
    </cacheField>
    <cacheField name="Infected Percent" numFmtId="0" formula="'Case Decision'/#NAME?" databaseField="0"/>
    <cacheField name="Field1" numFmtId="0" formula="'Case Decision'/#NAME? *100" databaseField="0"/>
    <cacheField name="Field2" numFmtId="0" formula="'Case Decision'/'Department Manpower'" databaseField="0"/>
  </cacheFields>
  <extLst>
    <ext xmlns:x14="http://schemas.microsoft.com/office/spreadsheetml/2009/9/main" uri="{725AE2AE-9491-48be-B2B4-4EB974FC3084}">
      <x14:pivotCacheDefinition pivotCacheId="81794766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7">
  <r>
    <x v="0"/>
    <x v="0"/>
    <s v="EMP-00065"/>
    <n v="34"/>
    <s v="F"/>
    <x v="0"/>
    <n v="38"/>
    <s v="Medium Risk"/>
    <x v="0"/>
    <s v="Negative"/>
    <s v="No"/>
    <s v="No Symptom"/>
  </r>
  <r>
    <x v="1"/>
    <x v="1"/>
    <s v="EMP-00009"/>
    <n v="36"/>
    <s v="M"/>
    <x v="1"/>
    <n v="37"/>
    <s v="Normal"/>
    <x v="0"/>
    <s v="Negative"/>
    <s v="No"/>
    <s v="No Symptom"/>
  </r>
  <r>
    <x v="2"/>
    <x v="2"/>
    <s v="EMP-00095"/>
    <n v="38"/>
    <s v="M"/>
    <x v="2"/>
    <n v="37"/>
    <s v="Normal"/>
    <x v="0"/>
    <s v="Negative"/>
    <s v="No"/>
    <s v="No Symptom"/>
  </r>
  <r>
    <x v="3"/>
    <x v="3"/>
    <s v="EMP-00049"/>
    <n v="28"/>
    <s v="M"/>
    <x v="2"/>
    <n v="38"/>
    <s v="Medium Risk"/>
    <x v="0"/>
    <s v="Negative"/>
    <s v="No"/>
    <s v="No Symptom"/>
  </r>
  <r>
    <x v="4"/>
    <x v="4"/>
    <s v="EMP-00037"/>
    <n v="29"/>
    <s v="F"/>
    <x v="3"/>
    <n v="38"/>
    <s v="Medium Risk"/>
    <x v="0"/>
    <s v="Negative"/>
    <s v="No"/>
    <s v="No Symptom"/>
  </r>
  <r>
    <x v="5"/>
    <x v="5"/>
    <s v="EMP-00028"/>
    <n v="30"/>
    <s v="M"/>
    <x v="3"/>
    <n v="38"/>
    <s v="Medium Risk"/>
    <x v="0"/>
    <s v="Negative"/>
    <s v="No"/>
    <s v="No Symptom"/>
  </r>
  <r>
    <x v="6"/>
    <x v="6"/>
    <s v="EMP-00024"/>
    <n v="30"/>
    <s v="M"/>
    <x v="4"/>
    <n v="38"/>
    <s v="Medium Risk"/>
    <x v="0"/>
    <s v="Negative"/>
    <s v="No"/>
    <s v="No Symptom"/>
  </r>
  <r>
    <x v="7"/>
    <x v="7"/>
    <s v="EMP-00014"/>
    <n v="28"/>
    <s v="M"/>
    <x v="5"/>
    <n v="37"/>
    <s v="Normal"/>
    <x v="0"/>
    <s v="Negative"/>
    <s v="No"/>
    <s v="No Symptom"/>
  </r>
  <r>
    <x v="8"/>
    <x v="8"/>
    <s v="EMP-00051"/>
    <n v="32"/>
    <s v="F"/>
    <x v="6"/>
    <n v="38"/>
    <s v="Medium Risk"/>
    <x v="0"/>
    <s v="Negative"/>
    <s v="No"/>
    <s v="No Symptom"/>
  </r>
  <r>
    <x v="9"/>
    <x v="9"/>
    <s v="EMP-00005"/>
    <n v="36"/>
    <s v="M"/>
    <x v="1"/>
    <n v="38"/>
    <s v="Medium Risk"/>
    <x v="0"/>
    <s v="Negative"/>
    <s v="No"/>
    <s v="No Symptom"/>
  </r>
  <r>
    <x v="10"/>
    <x v="10"/>
    <s v="EMP-00053"/>
    <n v="34"/>
    <s v="F"/>
    <x v="3"/>
    <n v="38"/>
    <s v="Medium Risk"/>
    <x v="0"/>
    <s v="Negative"/>
    <s v="No"/>
    <s v="No Symptom"/>
  </r>
  <r>
    <x v="3"/>
    <x v="11"/>
    <s v="EMP-00040"/>
    <n v="30"/>
    <s v="M"/>
    <x v="7"/>
    <n v="37"/>
    <s v="Normal"/>
    <x v="0"/>
    <s v="Negative"/>
    <s v="No"/>
    <s v="No Symptom"/>
  </r>
  <r>
    <x v="11"/>
    <x v="12"/>
    <s v="EMP-00013"/>
    <n v="33"/>
    <s v="M"/>
    <x v="4"/>
    <n v="37"/>
    <s v="Normal"/>
    <x v="0"/>
    <s v="Negative"/>
    <s v="No"/>
    <s v="No Symptom"/>
  </r>
  <r>
    <x v="12"/>
    <x v="13"/>
    <s v="EMP-00042"/>
    <n v="25"/>
    <s v="M"/>
    <x v="6"/>
    <n v="38"/>
    <s v="Medium Risk"/>
    <x v="0"/>
    <s v="Negative"/>
    <s v="No"/>
    <s v="No Symptom"/>
  </r>
  <r>
    <x v="13"/>
    <x v="14"/>
    <s v="EMP-00033"/>
    <n v="31"/>
    <s v="F"/>
    <x v="5"/>
    <n v="37"/>
    <s v="Normal"/>
    <x v="1"/>
    <s v="Negative"/>
    <s v="No"/>
    <s v="No Symptom"/>
  </r>
  <r>
    <x v="14"/>
    <x v="15"/>
    <s v="EMP-00038"/>
    <n v="32"/>
    <s v="M"/>
    <x v="3"/>
    <n v="38"/>
    <s v="Medium Risk"/>
    <x v="0"/>
    <s v="Negative"/>
    <s v="No"/>
    <s v="No Symptom"/>
  </r>
  <r>
    <x v="15"/>
    <x v="16"/>
    <s v="EMP-00090"/>
    <n v="25"/>
    <s v="M"/>
    <x v="5"/>
    <n v="37"/>
    <s v="Normal"/>
    <x v="0"/>
    <s v="Negative"/>
    <s v="No"/>
    <s v="No Symptom"/>
  </r>
  <r>
    <x v="16"/>
    <x v="17"/>
    <s v="EMP-00056"/>
    <n v="36"/>
    <s v="M"/>
    <x v="3"/>
    <n v="38"/>
    <s v="Medium Risk"/>
    <x v="0"/>
    <s v="Negative"/>
    <s v="No"/>
    <s v="No Symptom"/>
  </r>
  <r>
    <x v="17"/>
    <x v="18"/>
    <s v="EMP-00062"/>
    <n v="29"/>
    <s v="M"/>
    <x v="1"/>
    <n v="38"/>
    <s v="Medium Risk"/>
    <x v="0"/>
    <s v="Negative"/>
    <s v="No"/>
    <s v="No Symptom"/>
  </r>
  <r>
    <x v="18"/>
    <x v="19"/>
    <s v="EMP-00025"/>
    <n v="29"/>
    <s v="M"/>
    <x v="4"/>
    <n v="37"/>
    <s v="Normal"/>
    <x v="0"/>
    <s v="Negative"/>
    <s v="No"/>
    <s v="No Symptom"/>
  </r>
  <r>
    <x v="19"/>
    <x v="20"/>
    <s v="EMP-00012"/>
    <n v="28"/>
    <s v="M"/>
    <x v="0"/>
    <n v="39"/>
    <s v="High Risk"/>
    <x v="0"/>
    <s v="Positive"/>
    <s v="Yes"/>
    <s v="Nominate"/>
  </r>
  <r>
    <x v="20"/>
    <x v="21"/>
    <s v="EMP-00063"/>
    <n v="32"/>
    <s v="F"/>
    <x v="2"/>
    <n v="38"/>
    <s v="Medium Risk"/>
    <x v="0"/>
    <s v="Negative"/>
    <s v="No"/>
    <s v="No Symptom"/>
  </r>
  <r>
    <x v="21"/>
    <x v="21"/>
    <s v="EMP-00063"/>
    <n v="32"/>
    <s v="F"/>
    <x v="2"/>
    <n v="37"/>
    <s v="Normal"/>
    <x v="0"/>
    <s v="Negative"/>
    <s v="No"/>
    <s v="No Symptom"/>
  </r>
  <r>
    <x v="22"/>
    <x v="22"/>
    <s v="EMP-00104"/>
    <n v="32"/>
    <s v="F"/>
    <x v="2"/>
    <n v="37"/>
    <s v="Normal"/>
    <x v="1"/>
    <s v="Negative"/>
    <s v="No"/>
    <s v="No Symptom"/>
  </r>
  <r>
    <x v="23"/>
    <x v="23"/>
    <s v="EMP-00083"/>
    <n v="27"/>
    <s v="M"/>
    <x v="7"/>
    <n v="37"/>
    <s v="Normal"/>
    <x v="0"/>
    <s v="Positive"/>
    <s v="No"/>
    <s v="Cough"/>
  </r>
  <r>
    <x v="24"/>
    <x v="24"/>
    <s v="EMP-00060"/>
    <n v="38"/>
    <s v="F"/>
    <x v="0"/>
    <n v="38"/>
    <s v="Medium Risk"/>
    <x v="0"/>
    <s v="Negative"/>
    <s v="No"/>
    <s v="No Symptom"/>
  </r>
  <r>
    <x v="25"/>
    <x v="25"/>
    <s v="EMP-00010"/>
    <n v="38"/>
    <s v="M"/>
    <x v="7"/>
    <n v="37"/>
    <s v="Normal"/>
    <x v="0"/>
    <s v="Negative"/>
    <s v="No"/>
    <s v="No Symptom"/>
  </r>
  <r>
    <x v="26"/>
    <x v="26"/>
    <s v="EMP-00007"/>
    <n v="31"/>
    <s v="M"/>
    <x v="5"/>
    <n v="38"/>
    <s v="Medium Risk"/>
    <x v="0"/>
    <s v="Negative"/>
    <s v="No"/>
    <s v="No Symptom"/>
  </r>
  <r>
    <x v="27"/>
    <x v="27"/>
    <s v="EMP-00085"/>
    <n v="37"/>
    <s v="F"/>
    <x v="0"/>
    <n v="37"/>
    <s v="Normal"/>
    <x v="0"/>
    <s v="Negative"/>
    <s v="No"/>
    <s v="No Symptom"/>
  </r>
  <r>
    <x v="28"/>
    <x v="9"/>
    <s v="EMP-00005"/>
    <n v="36"/>
    <s v="M"/>
    <x v="1"/>
    <n v="38"/>
    <s v="Medium Risk"/>
    <x v="0"/>
    <s v="Negative"/>
    <s v="No"/>
    <s v="No Symptom"/>
  </r>
  <r>
    <x v="29"/>
    <x v="7"/>
    <s v="EMP-00014"/>
    <n v="28"/>
    <s v="M"/>
    <x v="5"/>
    <n v="38"/>
    <s v="Medium Risk"/>
    <x v="1"/>
    <s v="Negative"/>
    <s v="No"/>
    <s v="No Symptom"/>
  </r>
  <r>
    <x v="30"/>
    <x v="2"/>
    <s v="EMP-00095"/>
    <n v="38"/>
    <s v="M"/>
    <x v="2"/>
    <n v="37"/>
    <s v="Normal"/>
    <x v="0"/>
    <s v="Negative"/>
    <s v="No"/>
    <s v="No Symptom"/>
  </r>
  <r>
    <x v="31"/>
    <x v="17"/>
    <s v="EMP-00056"/>
    <n v="36"/>
    <s v="M"/>
    <x v="3"/>
    <n v="37"/>
    <s v="Normal"/>
    <x v="0"/>
    <s v="Negative"/>
    <s v="No"/>
    <s v="No Symptom"/>
  </r>
  <r>
    <x v="32"/>
    <x v="24"/>
    <s v="EMP-00060"/>
    <n v="38"/>
    <s v="F"/>
    <x v="0"/>
    <n v="37"/>
    <s v="Normal"/>
    <x v="0"/>
    <s v="Negative"/>
    <s v="No"/>
    <s v="No Symptom"/>
  </r>
  <r>
    <x v="33"/>
    <x v="28"/>
    <s v="EMP-00017"/>
    <n v="27"/>
    <s v="F"/>
    <x v="7"/>
    <n v="37"/>
    <s v="Normal"/>
    <x v="1"/>
    <s v="Negative"/>
    <s v="No"/>
    <s v="No Symptom"/>
  </r>
  <r>
    <x v="34"/>
    <x v="29"/>
    <s v="EMP-00030"/>
    <n v="38"/>
    <s v="M"/>
    <x v="7"/>
    <n v="37"/>
    <s v="Normal"/>
    <x v="0"/>
    <s v="Negative"/>
    <s v="No"/>
    <s v="No Symptom"/>
  </r>
  <r>
    <x v="35"/>
    <x v="30"/>
    <s v="EMP-00057"/>
    <n v="37"/>
    <s v="M"/>
    <x v="6"/>
    <n v="38"/>
    <s v="Medium Risk"/>
    <x v="0"/>
    <s v="Negative"/>
    <s v="No"/>
    <s v="No Symptom"/>
  </r>
  <r>
    <x v="36"/>
    <x v="31"/>
    <s v="EMP-00055"/>
    <n v="36"/>
    <s v="F"/>
    <x v="5"/>
    <n v="37"/>
    <s v="Normal"/>
    <x v="0"/>
    <s v="Negative"/>
    <s v="No"/>
    <s v="No Symptom"/>
  </r>
  <r>
    <x v="20"/>
    <x v="2"/>
    <s v="EMP-00095"/>
    <n v="38"/>
    <s v="M"/>
    <x v="2"/>
    <n v="37"/>
    <s v="Normal"/>
    <x v="0"/>
    <s v="Negative"/>
    <s v="No"/>
    <s v="No Symptom"/>
  </r>
  <r>
    <x v="37"/>
    <x v="32"/>
    <s v="EMP-00101"/>
    <n v="36"/>
    <s v="M"/>
    <x v="3"/>
    <n v="40"/>
    <s v="Very High Risk"/>
    <x v="0"/>
    <s v="Positive"/>
    <s v="Yes"/>
    <s v="No Symptom"/>
  </r>
  <r>
    <x v="38"/>
    <x v="33"/>
    <s v="EMP-00036"/>
    <n v="38"/>
    <s v="F"/>
    <x v="3"/>
    <n v="37"/>
    <s v="Normal"/>
    <x v="0"/>
    <s v="Negative"/>
    <s v="No"/>
    <s v="No Symptom"/>
  </r>
  <r>
    <x v="39"/>
    <x v="34"/>
    <s v="EMP-00021"/>
    <n v="28"/>
    <s v="F"/>
    <x v="5"/>
    <n v="37"/>
    <s v="Normal"/>
    <x v="0"/>
    <s v="Negative"/>
    <s v="Yes"/>
    <s v="No Symptom"/>
  </r>
  <r>
    <x v="40"/>
    <x v="35"/>
    <s v="EMP-00031"/>
    <n v="31"/>
    <s v="F"/>
    <x v="6"/>
    <n v="37"/>
    <s v="Normal"/>
    <x v="0"/>
    <s v="Negative"/>
    <s v="No"/>
    <s v="No Symptom"/>
  </r>
  <r>
    <x v="41"/>
    <x v="2"/>
    <s v="EMP-00095"/>
    <n v="38"/>
    <s v="M"/>
    <x v="2"/>
    <n v="37"/>
    <s v="Normal"/>
    <x v="0"/>
    <s v="Positive"/>
    <s v="No"/>
    <s v="No Symptom"/>
  </r>
  <r>
    <x v="42"/>
    <x v="13"/>
    <s v="EMP-00042"/>
    <n v="25"/>
    <s v="M"/>
    <x v="6"/>
    <n v="37"/>
    <s v="Normal"/>
    <x v="0"/>
    <s v="Negative"/>
    <s v="No"/>
    <s v="No Symptom"/>
  </r>
  <r>
    <x v="43"/>
    <x v="24"/>
    <s v="EMP-00060"/>
    <n v="38"/>
    <s v="F"/>
    <x v="0"/>
    <n v="37"/>
    <s v="Normal"/>
    <x v="0"/>
    <s v="Negative"/>
    <s v="No"/>
    <s v="No Symptom"/>
  </r>
  <r>
    <x v="44"/>
    <x v="36"/>
    <s v="EMP-00041"/>
    <n v="29"/>
    <s v="M"/>
    <x v="5"/>
    <n v="38"/>
    <s v="Medium Risk"/>
    <x v="0"/>
    <s v="Negative"/>
    <s v="No"/>
    <s v="No Symptom"/>
  </r>
  <r>
    <x v="45"/>
    <x v="37"/>
    <s v="EMP-00069"/>
    <n v="38"/>
    <s v="M"/>
    <x v="2"/>
    <n v="37"/>
    <s v="Normal"/>
    <x v="0"/>
    <s v="Positive"/>
    <s v="No"/>
    <s v="No Symptom"/>
  </r>
  <r>
    <x v="46"/>
    <x v="38"/>
    <s v="EMP-00023"/>
    <n v="32"/>
    <s v="F"/>
    <x v="0"/>
    <n v="37"/>
    <s v="Normal"/>
    <x v="0"/>
    <s v="Negative"/>
    <s v="No"/>
    <s v="No Symptom"/>
  </r>
  <r>
    <x v="47"/>
    <x v="39"/>
    <s v="EMP-00029"/>
    <n v="37"/>
    <s v="M"/>
    <x v="0"/>
    <n v="39"/>
    <s v="High Risk"/>
    <x v="0"/>
    <s v="Positive"/>
    <s v="No"/>
    <s v="No Symptom"/>
  </r>
  <r>
    <x v="48"/>
    <x v="40"/>
    <s v="EMP-00093"/>
    <n v="38"/>
    <s v="M"/>
    <x v="6"/>
    <n v="37"/>
    <s v="Normal"/>
    <x v="0"/>
    <s v="Negative"/>
    <s v="No"/>
    <s v="No Symptom"/>
  </r>
  <r>
    <x v="49"/>
    <x v="40"/>
    <s v="EMP-00093"/>
    <n v="38"/>
    <s v="M"/>
    <x v="6"/>
    <n v="37"/>
    <s v="Normal"/>
    <x v="0"/>
    <s v="Negative"/>
    <s v="No"/>
    <s v="No Symptom"/>
  </r>
  <r>
    <x v="50"/>
    <x v="41"/>
    <s v="EMP-00047"/>
    <n v="34"/>
    <s v="F"/>
    <x v="5"/>
    <n v="37"/>
    <s v="Normal"/>
    <x v="1"/>
    <s v="Negative"/>
    <s v="No"/>
    <s v="No Symptom"/>
  </r>
  <r>
    <x v="51"/>
    <x v="42"/>
    <s v="EMP-00018"/>
    <n v="29"/>
    <s v="M"/>
    <x v="6"/>
    <n v="38"/>
    <s v="Medium Risk"/>
    <x v="0"/>
    <s v="Negative"/>
    <s v="No"/>
    <s v="No Symptom"/>
  </r>
  <r>
    <x v="52"/>
    <x v="43"/>
    <s v="EMP-00102"/>
    <n v="26"/>
    <s v="F"/>
    <x v="0"/>
    <n v="37"/>
    <s v="Normal"/>
    <x v="0"/>
    <s v="Negative"/>
    <s v="No"/>
    <s v="No Symptom"/>
  </r>
  <r>
    <x v="53"/>
    <x v="34"/>
    <s v="EMP-00021"/>
    <n v="28"/>
    <s v="F"/>
    <x v="5"/>
    <n v="38"/>
    <s v="Medium Risk"/>
    <x v="0"/>
    <s v="Negative"/>
    <s v="No"/>
    <s v="No Symptom"/>
  </r>
  <r>
    <x v="54"/>
    <x v="44"/>
    <s v="EMP-00089"/>
    <n v="29"/>
    <s v="F"/>
    <x v="5"/>
    <n v="38"/>
    <s v="Medium Risk"/>
    <x v="1"/>
    <s v="Negative"/>
    <s v="No"/>
    <s v="No Symptom"/>
  </r>
  <r>
    <x v="55"/>
    <x v="33"/>
    <s v="EMP-00036"/>
    <n v="38"/>
    <s v="F"/>
    <x v="3"/>
    <n v="37"/>
    <s v="Normal"/>
    <x v="0"/>
    <s v="Negative"/>
    <s v="No"/>
    <s v="No Symptom"/>
  </r>
  <r>
    <x v="56"/>
    <x v="45"/>
    <s v="EMP-00103"/>
    <n v="30"/>
    <s v="M"/>
    <x v="6"/>
    <n v="38"/>
    <s v="Medium Risk"/>
    <x v="0"/>
    <s v="Negative"/>
    <s v="No"/>
    <s v="No Symptom"/>
  </r>
  <r>
    <x v="57"/>
    <x v="46"/>
    <s v="EMP-00032"/>
    <n v="34"/>
    <s v="F"/>
    <x v="3"/>
    <n v="37"/>
    <s v="Normal"/>
    <x v="1"/>
    <s v="Negative"/>
    <s v="No"/>
    <s v="No Symptom"/>
  </r>
  <r>
    <x v="58"/>
    <x v="1"/>
    <s v="EMP-00009"/>
    <n v="36"/>
    <s v="M"/>
    <x v="1"/>
    <n v="40"/>
    <s v="Very High Risk"/>
    <x v="0"/>
    <s v="Positive"/>
    <s v="Yes"/>
    <s v="Nominate"/>
  </r>
  <r>
    <x v="59"/>
    <x v="47"/>
    <s v="EMP-00046"/>
    <n v="38"/>
    <s v="M"/>
    <x v="7"/>
    <n v="38"/>
    <s v="Medium Risk"/>
    <x v="0"/>
    <s v="Negative"/>
    <s v="No"/>
    <s v="No Symptom"/>
  </r>
  <r>
    <x v="60"/>
    <x v="48"/>
    <s v="EMP-00072"/>
    <n v="32"/>
    <s v="F"/>
    <x v="2"/>
    <n v="37"/>
    <s v="Normal"/>
    <x v="0"/>
    <s v="Negative"/>
    <s v="No"/>
    <s v="No Symptom"/>
  </r>
  <r>
    <x v="61"/>
    <x v="49"/>
    <s v="EMP-00019"/>
    <n v="28"/>
    <s v="M"/>
    <x v="3"/>
    <n v="38"/>
    <s v="Medium Risk"/>
    <x v="0"/>
    <s v="Negative"/>
    <s v="No"/>
    <s v="No Symptom"/>
  </r>
  <r>
    <x v="62"/>
    <x v="50"/>
    <s v="EMP-00077"/>
    <n v="38"/>
    <s v="F"/>
    <x v="1"/>
    <n v="37"/>
    <s v="Normal"/>
    <x v="0"/>
    <s v="Negative"/>
    <s v="No"/>
    <s v="No Symptom"/>
  </r>
  <r>
    <x v="63"/>
    <x v="51"/>
    <s v="EMP-00079"/>
    <n v="37"/>
    <s v="M"/>
    <x v="2"/>
    <n v="38"/>
    <s v="Medium Risk"/>
    <x v="0"/>
    <s v="Negative"/>
    <s v="Yes"/>
    <s v="No Symptom"/>
  </r>
  <r>
    <x v="64"/>
    <x v="24"/>
    <s v="EMP-00060"/>
    <n v="38"/>
    <s v="F"/>
    <x v="0"/>
    <n v="37"/>
    <s v="Normal"/>
    <x v="0"/>
    <s v="Negative"/>
    <s v="No"/>
    <s v="No Symptom"/>
  </r>
  <r>
    <x v="65"/>
    <x v="52"/>
    <s v="EMP-00078"/>
    <n v="38"/>
    <s v="M"/>
    <x v="7"/>
    <n v="37"/>
    <s v="Normal"/>
    <x v="0"/>
    <s v="Negative"/>
    <s v="No"/>
    <s v="No Symptom"/>
  </r>
  <r>
    <x v="66"/>
    <x v="9"/>
    <s v="EMP-00005"/>
    <n v="36"/>
    <s v="M"/>
    <x v="1"/>
    <n v="38"/>
    <s v="Medium Risk"/>
    <x v="0"/>
    <s v="Negative"/>
    <s v="No"/>
    <s v="No Symptom"/>
  </r>
  <r>
    <x v="67"/>
    <x v="47"/>
    <s v="EMP-00046"/>
    <n v="38"/>
    <s v="M"/>
    <x v="7"/>
    <n v="37"/>
    <s v="Normal"/>
    <x v="0"/>
    <s v="Negative"/>
    <s v="No"/>
    <s v="No Symptom"/>
  </r>
  <r>
    <x v="68"/>
    <x v="28"/>
    <s v="EMP-00017"/>
    <n v="27"/>
    <s v="F"/>
    <x v="7"/>
    <n v="38"/>
    <s v="Medium Risk"/>
    <x v="0"/>
    <s v="Negative"/>
    <s v="No"/>
    <s v="No Symptom"/>
  </r>
  <r>
    <x v="69"/>
    <x v="37"/>
    <s v="EMP-00069"/>
    <n v="38"/>
    <s v="M"/>
    <x v="2"/>
    <n v="37"/>
    <s v="Normal"/>
    <x v="0"/>
    <s v="Negative"/>
    <s v="No"/>
    <s v="No Symptom"/>
  </r>
  <r>
    <x v="70"/>
    <x v="53"/>
    <s v="EMP-00091"/>
    <n v="34"/>
    <s v="F"/>
    <x v="6"/>
    <n v="37"/>
    <s v="Normal"/>
    <x v="1"/>
    <s v="Negative"/>
    <s v="No"/>
    <s v="No Symptom"/>
  </r>
  <r>
    <x v="62"/>
    <x v="54"/>
    <s v="EMP-00026"/>
    <n v="35"/>
    <s v="F"/>
    <x v="2"/>
    <n v="37"/>
    <s v="Normal"/>
    <x v="0"/>
    <s v="Negative"/>
    <s v="No"/>
    <s v="No Symptom"/>
  </r>
  <r>
    <x v="71"/>
    <x v="14"/>
    <s v="EMP-00033"/>
    <n v="31"/>
    <s v="F"/>
    <x v="5"/>
    <n v="39"/>
    <s v="High Risk"/>
    <x v="0"/>
    <s v="Positive"/>
    <s v="Yes"/>
    <s v="Headache"/>
  </r>
  <r>
    <x v="72"/>
    <x v="29"/>
    <s v="EMP-00030"/>
    <n v="38"/>
    <s v="M"/>
    <x v="7"/>
    <n v="37"/>
    <s v="Normal"/>
    <x v="0"/>
    <s v="Negative"/>
    <s v="No"/>
    <s v="No Symptom"/>
  </r>
  <r>
    <x v="73"/>
    <x v="31"/>
    <s v="EMP-00055"/>
    <n v="36"/>
    <s v="F"/>
    <x v="5"/>
    <n v="38"/>
    <s v="Medium Risk"/>
    <x v="1"/>
    <s v="Negative"/>
    <s v="No"/>
    <s v="No Symptom"/>
  </r>
  <r>
    <x v="74"/>
    <x v="29"/>
    <s v="EMP-00030"/>
    <n v="38"/>
    <s v="M"/>
    <x v="7"/>
    <n v="37"/>
    <s v="Normal"/>
    <x v="0"/>
    <s v="Negative"/>
    <s v="No"/>
    <s v="No Symptom"/>
  </r>
  <r>
    <x v="75"/>
    <x v="55"/>
    <s v="EMP-00071"/>
    <n v="30"/>
    <s v="F"/>
    <x v="6"/>
    <n v="37"/>
    <s v="Normal"/>
    <x v="0"/>
    <s v="Positive"/>
    <s v="No"/>
    <s v="Headache &amp; Cough"/>
  </r>
  <r>
    <x v="76"/>
    <x v="56"/>
    <s v="EMP-00080"/>
    <n v="32"/>
    <s v="F"/>
    <x v="1"/>
    <n v="37"/>
    <s v="Normal"/>
    <x v="0"/>
    <s v="Negative"/>
    <s v="No"/>
    <s v="No Symptom"/>
  </r>
  <r>
    <x v="77"/>
    <x v="44"/>
    <s v="EMP-00089"/>
    <n v="29"/>
    <s v="F"/>
    <x v="5"/>
    <n v="37"/>
    <s v="Normal"/>
    <x v="0"/>
    <s v="Negative"/>
    <s v="No"/>
    <s v="No Symptom"/>
  </r>
  <r>
    <x v="78"/>
    <x v="57"/>
    <s v="EMP-00075"/>
    <n v="32"/>
    <s v="M"/>
    <x v="4"/>
    <n v="38"/>
    <s v="Medium Risk"/>
    <x v="0"/>
    <s v="Negative"/>
    <s v="No"/>
    <s v="No Symptom"/>
  </r>
  <r>
    <x v="79"/>
    <x v="17"/>
    <s v="EMP-00056"/>
    <n v="36"/>
    <s v="M"/>
    <x v="3"/>
    <n v="38"/>
    <s v="Medium Risk"/>
    <x v="0"/>
    <s v="Negative"/>
    <s v="No"/>
    <s v="No Symptom"/>
  </r>
  <r>
    <x v="80"/>
    <x v="52"/>
    <s v="EMP-00078"/>
    <n v="38"/>
    <s v="M"/>
    <x v="7"/>
    <n v="38"/>
    <s v="Medium Risk"/>
    <x v="0"/>
    <s v="Negative"/>
    <s v="No"/>
    <s v="No Symptom"/>
  </r>
  <r>
    <x v="81"/>
    <x v="58"/>
    <s v="EMP-00054"/>
    <n v="35"/>
    <s v="M"/>
    <x v="2"/>
    <n v="38"/>
    <s v="Medium Risk"/>
    <x v="0"/>
    <s v="Negative"/>
    <s v="No"/>
    <s v="No Symptom"/>
  </r>
  <r>
    <x v="82"/>
    <x v="21"/>
    <s v="EMP-00063"/>
    <n v="32"/>
    <s v="F"/>
    <x v="2"/>
    <n v="38"/>
    <s v="Medium Risk"/>
    <x v="0"/>
    <s v="Negative"/>
    <s v="No"/>
    <s v="No Symptom"/>
  </r>
  <r>
    <x v="83"/>
    <x v="59"/>
    <s v="EMP-00001"/>
    <n v="32"/>
    <s v="M"/>
    <x v="7"/>
    <n v="37"/>
    <s v="Normal"/>
    <x v="0"/>
    <s v="Negative"/>
    <s v="No"/>
    <s v="No Symptom"/>
  </r>
  <r>
    <x v="1"/>
    <x v="2"/>
    <s v="EMP-00095"/>
    <n v="38"/>
    <s v="M"/>
    <x v="2"/>
    <n v="38"/>
    <s v="Medium Risk"/>
    <x v="0"/>
    <s v="Negative"/>
    <s v="No"/>
    <s v="No Symptom"/>
  </r>
  <r>
    <x v="63"/>
    <x v="47"/>
    <s v="EMP-00046"/>
    <n v="38"/>
    <s v="M"/>
    <x v="7"/>
    <n v="37"/>
    <s v="Normal"/>
    <x v="0"/>
    <s v="Negative"/>
    <s v="Yes"/>
    <s v="No Symptom"/>
  </r>
  <r>
    <x v="58"/>
    <x v="9"/>
    <s v="EMP-00005"/>
    <n v="36"/>
    <s v="M"/>
    <x v="1"/>
    <n v="38"/>
    <s v="Medium Risk"/>
    <x v="0"/>
    <s v="Positive"/>
    <s v="No"/>
    <s v="No Symptom"/>
  </r>
  <r>
    <x v="84"/>
    <x v="60"/>
    <s v="EMP-00086"/>
    <n v="34"/>
    <s v="F"/>
    <x v="3"/>
    <n v="37"/>
    <s v="Normal"/>
    <x v="0"/>
    <s v="Negative"/>
    <s v="No"/>
    <s v="No Symptom"/>
  </r>
  <r>
    <x v="83"/>
    <x v="22"/>
    <s v="EMP-00104"/>
    <n v="32"/>
    <s v="F"/>
    <x v="2"/>
    <n v="38"/>
    <s v="Medium Risk"/>
    <x v="0"/>
    <s v="Negative"/>
    <s v="No"/>
    <s v="No Symptom"/>
  </r>
  <r>
    <x v="85"/>
    <x v="61"/>
    <s v="EMP-00048"/>
    <n v="26"/>
    <s v="F"/>
    <x v="0"/>
    <n v="40"/>
    <s v="Very High Risk"/>
    <x v="0"/>
    <s v="Negative"/>
    <s v="Yes"/>
    <s v="No Symptom"/>
  </r>
  <r>
    <x v="86"/>
    <x v="43"/>
    <s v="EMP-00102"/>
    <n v="26"/>
    <s v="F"/>
    <x v="0"/>
    <n v="38"/>
    <s v="Medium Risk"/>
    <x v="0"/>
    <s v="Negative"/>
    <s v="No"/>
    <s v="No Symptom"/>
  </r>
  <r>
    <x v="82"/>
    <x v="4"/>
    <s v="EMP-00037"/>
    <n v="29"/>
    <s v="F"/>
    <x v="3"/>
    <n v="38"/>
    <s v="Medium Risk"/>
    <x v="0"/>
    <s v="Positive"/>
    <s v="No"/>
    <s v="No Symptom"/>
  </r>
  <r>
    <x v="87"/>
    <x v="62"/>
    <s v="EMP-00099"/>
    <n v="25"/>
    <s v="F"/>
    <x v="4"/>
    <n v="40"/>
    <s v="Very High Risk"/>
    <x v="0"/>
    <s v="Negative"/>
    <s v="Yes"/>
    <s v="No Symptom"/>
  </r>
  <r>
    <x v="88"/>
    <x v="63"/>
    <s v="EMP-00092"/>
    <n v="35"/>
    <s v="F"/>
    <x v="6"/>
    <n v="38"/>
    <s v="Medium Risk"/>
    <x v="0"/>
    <s v="Negative"/>
    <s v="No"/>
    <s v="No Symptom"/>
  </r>
  <r>
    <x v="89"/>
    <x v="49"/>
    <s v="EMP-00019"/>
    <n v="28"/>
    <s v="M"/>
    <x v="3"/>
    <n v="38"/>
    <s v="Medium Risk"/>
    <x v="1"/>
    <s v="Negative"/>
    <s v="No"/>
    <s v="No Symptom"/>
  </r>
  <r>
    <x v="90"/>
    <x v="31"/>
    <s v="EMP-00055"/>
    <n v="36"/>
    <s v="F"/>
    <x v="5"/>
    <n v="37"/>
    <s v="Normal"/>
    <x v="0"/>
    <s v="Negative"/>
    <s v="No"/>
    <s v="No Symptom"/>
  </r>
  <r>
    <x v="91"/>
    <x v="64"/>
    <s v="EMP-00066"/>
    <n v="35"/>
    <s v="F"/>
    <x v="2"/>
    <n v="38"/>
    <s v="Medium Risk"/>
    <x v="0"/>
    <s v="Negative"/>
    <s v="No"/>
    <s v="No Symptom"/>
  </r>
  <r>
    <x v="92"/>
    <x v="65"/>
    <s v="EMP-00073"/>
    <n v="28"/>
    <s v="F"/>
    <x v="7"/>
    <n v="39"/>
    <s v="High Risk"/>
    <x v="0"/>
    <s v="Negative"/>
    <s v="No"/>
    <s v="No Symptom"/>
  </r>
  <r>
    <x v="93"/>
    <x v="2"/>
    <s v="EMP-00095"/>
    <n v="38"/>
    <s v="M"/>
    <x v="2"/>
    <n v="38"/>
    <s v="Medium Risk"/>
    <x v="0"/>
    <s v="Negative"/>
    <s v="No"/>
    <s v="No Symptom"/>
  </r>
  <r>
    <x v="18"/>
    <x v="0"/>
    <s v="EMP-00065"/>
    <n v="34"/>
    <s v="F"/>
    <x v="0"/>
    <n v="37"/>
    <s v="Normal"/>
    <x v="0"/>
    <s v="Negative"/>
    <s v="No"/>
    <s v="No Symptom"/>
  </r>
  <r>
    <x v="94"/>
    <x v="66"/>
    <s v="EMP-00011"/>
    <n v="35"/>
    <s v="F"/>
    <x v="3"/>
    <n v="38"/>
    <s v="Medium Risk"/>
    <x v="0"/>
    <s v="Negative"/>
    <s v="No"/>
    <s v="No Symptom"/>
  </r>
  <r>
    <x v="24"/>
    <x v="67"/>
    <s v="EMP-00098"/>
    <n v="29"/>
    <s v="M"/>
    <x v="1"/>
    <n v="37"/>
    <s v="Normal"/>
    <x v="1"/>
    <s v="Negative"/>
    <s v="No"/>
    <s v="No Symptom"/>
  </r>
  <r>
    <x v="95"/>
    <x v="25"/>
    <s v="EMP-00010"/>
    <n v="38"/>
    <s v="M"/>
    <x v="7"/>
    <n v="37"/>
    <s v="Normal"/>
    <x v="0"/>
    <s v="Negative"/>
    <s v="No"/>
    <s v="No Symptom"/>
  </r>
  <r>
    <x v="76"/>
    <x v="15"/>
    <s v="EMP-00038"/>
    <n v="32"/>
    <s v="M"/>
    <x v="3"/>
    <n v="37"/>
    <s v="Normal"/>
    <x v="0"/>
    <s v="Negative"/>
    <s v="No"/>
    <s v="No Symptom"/>
  </r>
  <r>
    <x v="96"/>
    <x v="68"/>
    <s v="EMP-00006"/>
    <n v="35"/>
    <s v="M"/>
    <x v="6"/>
    <n v="38"/>
    <s v="Medium Risk"/>
    <x v="0"/>
    <s v="Negative"/>
    <s v="No"/>
    <s v="No Symptom"/>
  </r>
  <r>
    <x v="97"/>
    <x v="5"/>
    <s v="EMP-00028"/>
    <n v="30"/>
    <s v="M"/>
    <x v="3"/>
    <n v="37"/>
    <s v="Normal"/>
    <x v="0"/>
    <s v="Positive"/>
    <s v="No"/>
    <s v="No Symptom"/>
  </r>
  <r>
    <x v="98"/>
    <x v="69"/>
    <s v="EMP-00043"/>
    <n v="27"/>
    <s v="F"/>
    <x v="7"/>
    <n v="37"/>
    <s v="Normal"/>
    <x v="0"/>
    <s v="Negative"/>
    <s v="No"/>
    <s v="No Symptom"/>
  </r>
  <r>
    <x v="68"/>
    <x v="42"/>
    <s v="EMP-00018"/>
    <n v="29"/>
    <s v="M"/>
    <x v="6"/>
    <n v="37"/>
    <s v="Normal"/>
    <x v="0"/>
    <s v="Negative"/>
    <s v="No"/>
    <s v="No Symptom"/>
  </r>
  <r>
    <x v="99"/>
    <x v="70"/>
    <s v="EMP-00039"/>
    <n v="29"/>
    <s v="F"/>
    <x v="0"/>
    <n v="37"/>
    <s v="Normal"/>
    <x v="0"/>
    <s v="Negative"/>
    <s v="No"/>
    <s v="No Symptom"/>
  </r>
  <r>
    <x v="88"/>
    <x v="26"/>
    <s v="EMP-00007"/>
    <n v="31"/>
    <s v="M"/>
    <x v="5"/>
    <n v="38"/>
    <s v="Medium Risk"/>
    <x v="0"/>
    <s v="Negative"/>
    <s v="No"/>
    <s v="No Symptom"/>
  </r>
  <r>
    <x v="100"/>
    <x v="29"/>
    <s v="EMP-00030"/>
    <n v="38"/>
    <s v="M"/>
    <x v="7"/>
    <n v="38"/>
    <s v="Medium Risk"/>
    <x v="0"/>
    <s v="Negative"/>
    <s v="No"/>
    <s v="No Symptom"/>
  </r>
  <r>
    <x v="101"/>
    <x v="69"/>
    <s v="EMP-00043"/>
    <n v="27"/>
    <s v="F"/>
    <x v="7"/>
    <n v="39"/>
    <s v="High Risk"/>
    <x v="0"/>
    <s v="Positive"/>
    <s v="Yes"/>
    <s v="Cough &amp; Nominate"/>
  </r>
  <r>
    <x v="102"/>
    <x v="71"/>
    <s v="EMP-00074"/>
    <n v="29"/>
    <s v="M"/>
    <x v="4"/>
    <n v="38"/>
    <s v="Medium Risk"/>
    <x v="0"/>
    <s v="Negative"/>
    <s v="No"/>
    <s v="No Symptom"/>
  </r>
  <r>
    <x v="33"/>
    <x v="72"/>
    <s v="EMP-00097"/>
    <n v="38"/>
    <s v="F"/>
    <x v="0"/>
    <n v="37"/>
    <s v="Normal"/>
    <x v="0"/>
    <s v="Negative"/>
    <s v="No"/>
    <s v="No Symptom"/>
  </r>
  <r>
    <x v="62"/>
    <x v="35"/>
    <s v="EMP-00031"/>
    <n v="31"/>
    <s v="F"/>
    <x v="6"/>
    <n v="37"/>
    <s v="Normal"/>
    <x v="0"/>
    <s v="Negative"/>
    <s v="No"/>
    <s v="No Symptom"/>
  </r>
  <r>
    <x v="103"/>
    <x v="73"/>
    <s v="EMP-00064"/>
    <n v="29"/>
    <s v="F"/>
    <x v="0"/>
    <n v="39"/>
    <s v="High Risk"/>
    <x v="0"/>
    <s v="Negative"/>
    <s v="No"/>
    <s v="No Symptom"/>
  </r>
  <r>
    <x v="104"/>
    <x v="23"/>
    <s v="EMP-00083"/>
    <n v="27"/>
    <s v="M"/>
    <x v="7"/>
    <n v="38"/>
    <s v="Medium Risk"/>
    <x v="0"/>
    <s v="Negative"/>
    <s v="No"/>
    <s v="No Symptom"/>
  </r>
  <r>
    <x v="105"/>
    <x v="74"/>
    <s v="EMP-00100"/>
    <n v="29"/>
    <s v="M"/>
    <x v="5"/>
    <n v="37"/>
    <s v="Normal"/>
    <x v="0"/>
    <s v="Negative"/>
    <s v="No"/>
    <s v="No Symptom"/>
  </r>
  <r>
    <x v="106"/>
    <x v="75"/>
    <s v="EMP-00045"/>
    <n v="27"/>
    <s v="F"/>
    <x v="0"/>
    <n v="37"/>
    <s v="Normal"/>
    <x v="0"/>
    <s v="Negative"/>
    <s v="No"/>
    <s v="No Symptom"/>
  </r>
  <r>
    <x v="107"/>
    <x v="22"/>
    <s v="EMP-00104"/>
    <n v="32"/>
    <s v="F"/>
    <x v="2"/>
    <n v="38"/>
    <s v="Medium Risk"/>
    <x v="1"/>
    <s v="Negative"/>
    <s v="No"/>
    <s v="Headache"/>
  </r>
  <r>
    <x v="108"/>
    <x v="76"/>
    <s v="EMP-00015"/>
    <n v="36"/>
    <s v="M"/>
    <x v="1"/>
    <n v="38"/>
    <s v="Medium Risk"/>
    <x v="0"/>
    <s v="Negative"/>
    <s v="No"/>
    <s v="No Symptom"/>
  </r>
  <r>
    <x v="8"/>
    <x v="51"/>
    <s v="EMP-00079"/>
    <n v="37"/>
    <s v="M"/>
    <x v="2"/>
    <n v="38"/>
    <s v="Medium Risk"/>
    <x v="1"/>
    <s v="Negative"/>
    <s v="No"/>
    <s v="No Symptom"/>
  </r>
  <r>
    <x v="44"/>
    <x v="47"/>
    <s v="EMP-00046"/>
    <n v="38"/>
    <s v="M"/>
    <x v="7"/>
    <n v="38"/>
    <s v="Medium Risk"/>
    <x v="0"/>
    <s v="Negative"/>
    <s v="No"/>
    <s v="No Symptom"/>
  </r>
  <r>
    <x v="109"/>
    <x v="71"/>
    <s v="EMP-00074"/>
    <n v="29"/>
    <s v="M"/>
    <x v="4"/>
    <n v="38"/>
    <s v="Medium Risk"/>
    <x v="0"/>
    <s v="Negative"/>
    <s v="No"/>
    <s v="No Symptom"/>
  </r>
  <r>
    <x v="110"/>
    <x v="4"/>
    <s v="EMP-00037"/>
    <n v="29"/>
    <s v="F"/>
    <x v="3"/>
    <n v="37"/>
    <s v="Normal"/>
    <x v="0"/>
    <s v="Negative"/>
    <s v="No"/>
    <s v="No Symptom"/>
  </r>
  <r>
    <x v="4"/>
    <x v="37"/>
    <s v="EMP-00069"/>
    <n v="38"/>
    <s v="M"/>
    <x v="2"/>
    <n v="38"/>
    <s v="Medium Risk"/>
    <x v="0"/>
    <s v="Negative"/>
    <s v="No"/>
    <s v="No Symptom"/>
  </r>
  <r>
    <x v="111"/>
    <x v="39"/>
    <s v="EMP-00029"/>
    <n v="37"/>
    <s v="M"/>
    <x v="0"/>
    <n v="38"/>
    <s v="Medium Risk"/>
    <x v="0"/>
    <s v="Negative"/>
    <s v="No"/>
    <s v="No Symptom"/>
  </r>
  <r>
    <x v="112"/>
    <x v="14"/>
    <s v="EMP-00033"/>
    <n v="31"/>
    <s v="F"/>
    <x v="5"/>
    <n v="39"/>
    <s v="High Risk"/>
    <x v="0"/>
    <s v="Negative"/>
    <s v="No"/>
    <s v="Cough &amp; Nominate"/>
  </r>
  <r>
    <x v="96"/>
    <x v="17"/>
    <s v="EMP-00056"/>
    <n v="36"/>
    <s v="M"/>
    <x v="3"/>
    <n v="38"/>
    <s v="Medium Risk"/>
    <x v="0"/>
    <s v="Negative"/>
    <s v="No"/>
    <s v="No Symptom"/>
  </r>
  <r>
    <x v="113"/>
    <x v="29"/>
    <s v="EMP-00030"/>
    <n v="38"/>
    <s v="M"/>
    <x v="7"/>
    <n v="37"/>
    <s v="Normal"/>
    <x v="0"/>
    <s v="Negative"/>
    <s v="No"/>
    <s v="No Symptom"/>
  </r>
  <r>
    <x v="31"/>
    <x v="77"/>
    <s v="EMP-00094"/>
    <n v="32"/>
    <s v="F"/>
    <x v="6"/>
    <n v="37"/>
    <s v="Normal"/>
    <x v="0"/>
    <s v="Negative"/>
    <s v="No"/>
    <s v="No Symptom"/>
  </r>
  <r>
    <x v="80"/>
    <x v="75"/>
    <s v="EMP-00045"/>
    <n v="27"/>
    <s v="F"/>
    <x v="0"/>
    <n v="37"/>
    <s v="Normal"/>
    <x v="0"/>
    <s v="Negative"/>
    <s v="No"/>
    <s v="No Symptom"/>
  </r>
  <r>
    <x v="69"/>
    <x v="51"/>
    <s v="EMP-00079"/>
    <n v="37"/>
    <s v="M"/>
    <x v="2"/>
    <n v="38"/>
    <s v="Medium Risk"/>
    <x v="0"/>
    <s v="Negative"/>
    <s v="No"/>
    <s v="No Symptom"/>
  </r>
  <r>
    <x v="114"/>
    <x v="23"/>
    <s v="EMP-00083"/>
    <n v="27"/>
    <s v="M"/>
    <x v="7"/>
    <n v="37"/>
    <s v="Normal"/>
    <x v="0"/>
    <s v="Negative"/>
    <s v="No"/>
    <s v="No Symptom"/>
  </r>
  <r>
    <x v="84"/>
    <x v="33"/>
    <s v="EMP-00036"/>
    <n v="38"/>
    <s v="F"/>
    <x v="3"/>
    <n v="37"/>
    <s v="Normal"/>
    <x v="0"/>
    <s v="Negative"/>
    <s v="No"/>
    <s v="No Symptom"/>
  </r>
  <r>
    <x v="115"/>
    <x v="78"/>
    <s v="EMP-00002"/>
    <n v="36"/>
    <s v="M"/>
    <x v="3"/>
    <n v="37"/>
    <s v="Normal"/>
    <x v="0"/>
    <s v="Negative"/>
    <s v="No"/>
    <s v="No Symptom"/>
  </r>
  <r>
    <x v="116"/>
    <x v="58"/>
    <s v="EMP-00054"/>
    <n v="35"/>
    <s v="M"/>
    <x v="2"/>
    <n v="38"/>
    <s v="Medium Risk"/>
    <x v="1"/>
    <s v="Negative"/>
    <s v="No"/>
    <s v="No Symptom"/>
  </r>
  <r>
    <x v="117"/>
    <x v="79"/>
    <s v="EMP-00105"/>
    <n v="29"/>
    <s v="F"/>
    <x v="5"/>
    <n v="38"/>
    <s v="Medium Risk"/>
    <x v="0"/>
    <s v="Negative"/>
    <s v="No"/>
    <s v="No Symptom"/>
  </r>
  <r>
    <x v="118"/>
    <x v="80"/>
    <s v="EMP-00035"/>
    <n v="33"/>
    <s v="F"/>
    <x v="3"/>
    <n v="37"/>
    <s v="Normal"/>
    <x v="0"/>
    <s v="Negative"/>
    <s v="No"/>
    <s v="No Symptom"/>
  </r>
  <r>
    <x v="119"/>
    <x v="4"/>
    <s v="EMP-00037"/>
    <n v="29"/>
    <s v="F"/>
    <x v="3"/>
    <n v="38"/>
    <s v="Medium Risk"/>
    <x v="0"/>
    <s v="Negative"/>
    <s v="No"/>
    <s v="No Symptom"/>
  </r>
  <r>
    <x v="61"/>
    <x v="55"/>
    <s v="EMP-00071"/>
    <n v="30"/>
    <s v="F"/>
    <x v="6"/>
    <n v="37"/>
    <s v="Normal"/>
    <x v="1"/>
    <s v="Positive"/>
    <s v="No"/>
    <s v="No Symptom"/>
  </r>
  <r>
    <x v="120"/>
    <x v="40"/>
    <s v="EMP-00093"/>
    <n v="38"/>
    <s v="M"/>
    <x v="6"/>
    <n v="37"/>
    <s v="Normal"/>
    <x v="0"/>
    <s v="Negative"/>
    <s v="No"/>
    <s v="No Symptom"/>
  </r>
  <r>
    <x v="121"/>
    <x v="17"/>
    <s v="EMP-00056"/>
    <n v="36"/>
    <s v="M"/>
    <x v="3"/>
    <n v="37"/>
    <s v="Normal"/>
    <x v="1"/>
    <s v="Negative"/>
    <s v="No"/>
    <s v="No Symptom"/>
  </r>
  <r>
    <x v="122"/>
    <x v="40"/>
    <s v="EMP-00093"/>
    <n v="38"/>
    <s v="M"/>
    <x v="6"/>
    <n v="37"/>
    <s v="Normal"/>
    <x v="0"/>
    <s v="Negative"/>
    <s v="No"/>
    <s v="No Symptom"/>
  </r>
  <r>
    <x v="72"/>
    <x v="24"/>
    <s v="EMP-00060"/>
    <n v="38"/>
    <s v="F"/>
    <x v="0"/>
    <n v="37"/>
    <s v="Normal"/>
    <x v="0"/>
    <s v="Negative"/>
    <s v="No"/>
    <s v="No Symptom"/>
  </r>
  <r>
    <x v="123"/>
    <x v="17"/>
    <s v="EMP-00056"/>
    <n v="36"/>
    <s v="M"/>
    <x v="3"/>
    <n v="38"/>
    <s v="Medium Risk"/>
    <x v="0"/>
    <s v="Negative"/>
    <s v="No"/>
    <s v="No Symptom"/>
  </r>
  <r>
    <x v="124"/>
    <x v="2"/>
    <s v="EMP-00095"/>
    <n v="38"/>
    <s v="M"/>
    <x v="2"/>
    <n v="37"/>
    <s v="Normal"/>
    <x v="0"/>
    <s v="Negative"/>
    <s v="No"/>
    <s v="No Symptom"/>
  </r>
  <r>
    <x v="105"/>
    <x v="81"/>
    <s v="EMP-00076"/>
    <n v="33"/>
    <s v="F"/>
    <x v="1"/>
    <n v="38"/>
    <s v="Medium Risk"/>
    <x v="0"/>
    <s v="Negative"/>
    <s v="No"/>
    <s v="No Symptom"/>
  </r>
  <r>
    <x v="125"/>
    <x v="62"/>
    <s v="EMP-00099"/>
    <n v="25"/>
    <s v="F"/>
    <x v="4"/>
    <n v="37"/>
    <s v="Normal"/>
    <x v="0"/>
    <s v="Negative"/>
    <s v="No"/>
    <s v="No Symptom"/>
  </r>
  <r>
    <x v="126"/>
    <x v="82"/>
    <s v="EMP-00044"/>
    <n v="26"/>
    <s v="M"/>
    <x v="0"/>
    <n v="37"/>
    <s v="Normal"/>
    <x v="0"/>
    <s v="Negative"/>
    <s v="No"/>
    <s v="No Symptom"/>
  </r>
  <r>
    <x v="29"/>
    <x v="32"/>
    <s v="EMP-00101"/>
    <n v="36"/>
    <s v="M"/>
    <x v="3"/>
    <n v="38"/>
    <s v="Medium Risk"/>
    <x v="0"/>
    <s v="Negative"/>
    <s v="No"/>
    <s v="No Symptom"/>
  </r>
  <r>
    <x v="127"/>
    <x v="83"/>
    <s v="EMP-00008"/>
    <n v="30"/>
    <s v="M"/>
    <x v="2"/>
    <n v="38"/>
    <s v="Medium Risk"/>
    <x v="0"/>
    <s v="Negative"/>
    <s v="No"/>
    <s v="No Symptom"/>
  </r>
  <r>
    <x v="128"/>
    <x v="78"/>
    <s v="EMP-00002"/>
    <n v="36"/>
    <s v="M"/>
    <x v="3"/>
    <n v="38"/>
    <s v="Medium Risk"/>
    <x v="0"/>
    <s v="Negative"/>
    <s v="No"/>
    <s v="No Symptom"/>
  </r>
  <r>
    <x v="129"/>
    <x v="73"/>
    <s v="EMP-00064"/>
    <n v="29"/>
    <s v="F"/>
    <x v="0"/>
    <n v="37"/>
    <s v="Normal"/>
    <x v="0"/>
    <s v="Negative"/>
    <s v="No"/>
    <s v="No Symptom"/>
  </r>
  <r>
    <x v="112"/>
    <x v="2"/>
    <s v="EMP-00095"/>
    <n v="38"/>
    <s v="M"/>
    <x v="2"/>
    <n v="37"/>
    <s v="Normal"/>
    <x v="1"/>
    <s v="Negative"/>
    <s v="No"/>
    <s v="No Symptom"/>
  </r>
  <r>
    <x v="130"/>
    <x v="47"/>
    <s v="EMP-00046"/>
    <n v="38"/>
    <s v="M"/>
    <x v="7"/>
    <n v="37"/>
    <s v="Normal"/>
    <x v="0"/>
    <s v="Negative"/>
    <s v="No"/>
    <s v="No Symptom"/>
  </r>
  <r>
    <x v="15"/>
    <x v="3"/>
    <s v="EMP-00049"/>
    <n v="28"/>
    <s v="M"/>
    <x v="2"/>
    <n v="37"/>
    <s v="Normal"/>
    <x v="1"/>
    <s v="Negative"/>
    <s v="No"/>
    <s v="No Symptom"/>
  </r>
  <r>
    <x v="131"/>
    <x v="79"/>
    <s v="EMP-00105"/>
    <n v="29"/>
    <s v="F"/>
    <x v="5"/>
    <n v="40"/>
    <s v="Very High Risk"/>
    <x v="0"/>
    <s v="Positive"/>
    <s v="No"/>
    <s v="Headache &amp; Cough"/>
  </r>
  <r>
    <x v="132"/>
    <x v="48"/>
    <s v="EMP-00072"/>
    <n v="32"/>
    <s v="F"/>
    <x v="2"/>
    <n v="38"/>
    <s v="Medium Risk"/>
    <x v="0"/>
    <s v="Negative"/>
    <s v="No"/>
    <s v="No Symptom"/>
  </r>
  <r>
    <x v="133"/>
    <x v="81"/>
    <s v="EMP-00076"/>
    <n v="33"/>
    <s v="F"/>
    <x v="1"/>
    <n v="37"/>
    <s v="Normal"/>
    <x v="0"/>
    <s v="Negative"/>
    <s v="No"/>
    <s v="No Symptom"/>
  </r>
  <r>
    <x v="134"/>
    <x v="10"/>
    <s v="EMP-00053"/>
    <n v="34"/>
    <s v="F"/>
    <x v="3"/>
    <n v="37"/>
    <s v="Normal"/>
    <x v="0"/>
    <s v="Negative"/>
    <s v="No"/>
    <s v="No Symptom"/>
  </r>
  <r>
    <x v="135"/>
    <x v="67"/>
    <s v="EMP-00098"/>
    <n v="29"/>
    <s v="M"/>
    <x v="1"/>
    <n v="37"/>
    <s v="Normal"/>
    <x v="0"/>
    <s v="Negative"/>
    <s v="No"/>
    <s v="No Symptom"/>
  </r>
  <r>
    <x v="136"/>
    <x v="68"/>
    <s v="EMP-00006"/>
    <n v="35"/>
    <s v="M"/>
    <x v="6"/>
    <n v="37"/>
    <s v="Normal"/>
    <x v="0"/>
    <s v="Negative"/>
    <s v="No"/>
    <s v="No Symptom"/>
  </r>
  <r>
    <x v="87"/>
    <x v="84"/>
    <s v="EMP-00088"/>
    <n v="26"/>
    <s v="F"/>
    <x v="1"/>
    <n v="37"/>
    <s v="Normal"/>
    <x v="1"/>
    <s v="Negative"/>
    <s v="No"/>
    <s v="Cough &amp; Nominate"/>
  </r>
  <r>
    <x v="137"/>
    <x v="85"/>
    <s v="EMP-00084"/>
    <n v="35"/>
    <s v="F"/>
    <x v="4"/>
    <n v="40"/>
    <s v="Very High Risk"/>
    <x v="0"/>
    <s v="Negative"/>
    <s v="No"/>
    <s v="No Symptom"/>
  </r>
  <r>
    <x v="6"/>
    <x v="28"/>
    <s v="EMP-00017"/>
    <n v="27"/>
    <s v="F"/>
    <x v="7"/>
    <n v="38"/>
    <s v="Medium Risk"/>
    <x v="1"/>
    <s v="Negative"/>
    <s v="No"/>
    <s v="Cough"/>
  </r>
  <r>
    <x v="138"/>
    <x v="86"/>
    <s v="EMP-00059"/>
    <n v="34"/>
    <s v="M"/>
    <x v="5"/>
    <n v="37"/>
    <s v="Normal"/>
    <x v="0"/>
    <s v="Negative"/>
    <s v="No"/>
    <s v="No Symptom"/>
  </r>
  <r>
    <x v="55"/>
    <x v="18"/>
    <s v="EMP-00062"/>
    <n v="29"/>
    <s v="M"/>
    <x v="1"/>
    <n v="38"/>
    <s v="Medium Risk"/>
    <x v="0"/>
    <s v="Positive"/>
    <s v="No"/>
    <s v="No Symptom"/>
  </r>
  <r>
    <x v="139"/>
    <x v="27"/>
    <s v="EMP-00085"/>
    <n v="37"/>
    <s v="F"/>
    <x v="0"/>
    <n v="38"/>
    <s v="Medium Risk"/>
    <x v="0"/>
    <s v="Negative"/>
    <s v="No"/>
    <s v="No Symptom"/>
  </r>
  <r>
    <x v="140"/>
    <x v="18"/>
    <s v="EMP-00062"/>
    <n v="29"/>
    <s v="M"/>
    <x v="1"/>
    <n v="37"/>
    <s v="Normal"/>
    <x v="0"/>
    <s v="Negative"/>
    <s v="No"/>
    <s v="No Symptom"/>
  </r>
  <r>
    <x v="141"/>
    <x v="13"/>
    <s v="EMP-00042"/>
    <n v="25"/>
    <s v="M"/>
    <x v="6"/>
    <n v="38"/>
    <s v="Medium Risk"/>
    <x v="0"/>
    <s v="Negative"/>
    <s v="No"/>
    <s v="No Symptom"/>
  </r>
  <r>
    <x v="142"/>
    <x v="45"/>
    <s v="EMP-00103"/>
    <n v="30"/>
    <s v="M"/>
    <x v="6"/>
    <n v="38"/>
    <s v="Medium Risk"/>
    <x v="0"/>
    <s v="Negative"/>
    <s v="No"/>
    <s v="No Symptom"/>
  </r>
  <r>
    <x v="143"/>
    <x v="87"/>
    <s v="EMP-00020"/>
    <n v="37"/>
    <s v="M"/>
    <x v="6"/>
    <n v="38"/>
    <s v="Medium Risk"/>
    <x v="0"/>
    <s v="Negative"/>
    <s v="No"/>
    <s v="No Symptom"/>
  </r>
  <r>
    <x v="76"/>
    <x v="9"/>
    <s v="EMP-00005"/>
    <n v="36"/>
    <s v="M"/>
    <x v="1"/>
    <n v="39"/>
    <s v="High Risk"/>
    <x v="1"/>
    <s v="Negative"/>
    <s v="No"/>
    <s v="Headache"/>
  </r>
  <r>
    <x v="144"/>
    <x v="1"/>
    <s v="EMP-00009"/>
    <n v="36"/>
    <s v="M"/>
    <x v="1"/>
    <n v="37"/>
    <s v="Normal"/>
    <x v="0"/>
    <s v="Negative"/>
    <s v="No"/>
    <s v="No Symptom"/>
  </r>
  <r>
    <x v="26"/>
    <x v="88"/>
    <s v="EMP-00052"/>
    <n v="26"/>
    <s v="F"/>
    <x v="6"/>
    <n v="37"/>
    <s v="Normal"/>
    <x v="0"/>
    <s v="Negative"/>
    <s v="No"/>
    <s v="No Symptom"/>
  </r>
  <r>
    <x v="51"/>
    <x v="75"/>
    <s v="EMP-00045"/>
    <n v="27"/>
    <s v="F"/>
    <x v="0"/>
    <n v="37"/>
    <s v="Normal"/>
    <x v="0"/>
    <s v="Negative"/>
    <s v="No"/>
    <s v="No Symptom"/>
  </r>
  <r>
    <x v="145"/>
    <x v="69"/>
    <s v="EMP-00043"/>
    <n v="27"/>
    <s v="F"/>
    <x v="7"/>
    <n v="38"/>
    <s v="Medium Risk"/>
    <x v="0"/>
    <s v="Negative"/>
    <s v="No"/>
    <s v="No Symptom"/>
  </r>
  <r>
    <x v="146"/>
    <x v="31"/>
    <s v="EMP-00055"/>
    <n v="36"/>
    <s v="F"/>
    <x v="5"/>
    <n v="39"/>
    <s v="High Risk"/>
    <x v="1"/>
    <s v="Positive"/>
    <s v="No"/>
    <s v="No Symptom"/>
  </r>
  <r>
    <x v="98"/>
    <x v="56"/>
    <s v="EMP-00080"/>
    <n v="32"/>
    <s v="F"/>
    <x v="1"/>
    <n v="38"/>
    <s v="Medium Risk"/>
    <x v="1"/>
    <s v="Negative"/>
    <s v="No"/>
    <s v="No Symptom"/>
  </r>
  <r>
    <x v="28"/>
    <x v="89"/>
    <s v="EMP-00067"/>
    <n v="25"/>
    <s v="F"/>
    <x v="1"/>
    <n v="38"/>
    <s v="Medium Risk"/>
    <x v="0"/>
    <s v="Negative"/>
    <s v="No"/>
    <s v="No Symptom"/>
  </r>
  <r>
    <x v="147"/>
    <x v="74"/>
    <s v="EMP-00100"/>
    <n v="29"/>
    <s v="M"/>
    <x v="5"/>
    <n v="38"/>
    <s v="Medium Risk"/>
    <x v="0"/>
    <s v="Negative"/>
    <s v="No"/>
    <s v="No Symptom"/>
  </r>
  <r>
    <x v="148"/>
    <x v="90"/>
    <s v="EMP-00070"/>
    <n v="29"/>
    <s v="F"/>
    <x v="0"/>
    <n v="37"/>
    <s v="Normal"/>
    <x v="0"/>
    <s v="Negative"/>
    <s v="No"/>
    <s v="No Symptom"/>
  </r>
  <r>
    <x v="142"/>
    <x v="91"/>
    <s v="EMP-00106"/>
    <n v="38"/>
    <s v="M"/>
    <x v="5"/>
    <n v="37"/>
    <s v="Normal"/>
    <x v="0"/>
    <s v="Negative"/>
    <s v="No"/>
    <s v="No Symptom"/>
  </r>
  <r>
    <x v="149"/>
    <x v="92"/>
    <s v="EMP-00061"/>
    <n v="27"/>
    <s v="M"/>
    <x v="0"/>
    <n v="38"/>
    <s v="Medium Risk"/>
    <x v="0"/>
    <s v="Negative"/>
    <s v="No"/>
    <s v="No Symptom"/>
  </r>
  <r>
    <x v="150"/>
    <x v="15"/>
    <s v="EMP-00038"/>
    <n v="32"/>
    <s v="M"/>
    <x v="3"/>
    <n v="37"/>
    <s v="Normal"/>
    <x v="0"/>
    <s v="Negative"/>
    <s v="No"/>
    <s v="No Symptom"/>
  </r>
  <r>
    <x v="32"/>
    <x v="55"/>
    <s v="EMP-00071"/>
    <n v="30"/>
    <s v="F"/>
    <x v="6"/>
    <n v="37"/>
    <s v="Normal"/>
    <x v="0"/>
    <s v="Negative"/>
    <s v="No"/>
    <s v="No Symptom"/>
  </r>
  <r>
    <x v="116"/>
    <x v="80"/>
    <s v="EMP-00035"/>
    <n v="33"/>
    <s v="F"/>
    <x v="3"/>
    <n v="37"/>
    <s v="Normal"/>
    <x v="0"/>
    <s v="Negative"/>
    <s v="No"/>
    <s v="No Symptom"/>
  </r>
  <r>
    <x v="44"/>
    <x v="50"/>
    <s v="EMP-00077"/>
    <n v="38"/>
    <s v="F"/>
    <x v="1"/>
    <n v="40"/>
    <s v="Very High Risk"/>
    <x v="0"/>
    <s v="Negative"/>
    <s v="No"/>
    <s v="Nominate"/>
  </r>
  <r>
    <x v="151"/>
    <x v="80"/>
    <s v="EMP-00035"/>
    <n v="33"/>
    <s v="F"/>
    <x v="3"/>
    <n v="38"/>
    <s v="Medium Risk"/>
    <x v="0"/>
    <s v="Negative"/>
    <s v="No"/>
    <s v="No Symptom"/>
  </r>
  <r>
    <x v="152"/>
    <x v="69"/>
    <s v="EMP-00043"/>
    <n v="27"/>
    <s v="F"/>
    <x v="7"/>
    <n v="38"/>
    <s v="Medium Risk"/>
    <x v="1"/>
    <s v="Negative"/>
    <s v="No"/>
    <s v="Cough &amp; Nominate"/>
  </r>
  <r>
    <x v="153"/>
    <x v="13"/>
    <s v="EMP-00042"/>
    <n v="25"/>
    <s v="M"/>
    <x v="6"/>
    <n v="37"/>
    <s v="Normal"/>
    <x v="0"/>
    <s v="Negative"/>
    <s v="No"/>
    <s v="No Symptom"/>
  </r>
  <r>
    <x v="52"/>
    <x v="58"/>
    <s v="EMP-00054"/>
    <n v="35"/>
    <s v="M"/>
    <x v="2"/>
    <n v="38"/>
    <s v="Medium Risk"/>
    <x v="0"/>
    <s v="Negative"/>
    <s v="No"/>
    <s v="No Symptom"/>
  </r>
  <r>
    <x v="151"/>
    <x v="83"/>
    <s v="EMP-00008"/>
    <n v="30"/>
    <s v="M"/>
    <x v="2"/>
    <n v="38"/>
    <s v="Medium Risk"/>
    <x v="0"/>
    <s v="Negative"/>
    <s v="No"/>
    <s v="No Sympto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
  <r>
    <x v="0"/>
    <x v="0"/>
    <s v="EMP-00001"/>
    <x v="0"/>
    <x v="0"/>
    <x v="0"/>
    <n v="13"/>
    <n v="7.6923076923076927E-2"/>
    <s v="Positive"/>
    <x v="0"/>
    <d v="2020-05-08T00:00:00"/>
    <d v="2020-05-10T00:00:00"/>
    <n v="14"/>
    <d v="2020-05-24T00:00:00"/>
    <n v="0"/>
    <n v="1"/>
    <s v=""/>
    <s v="Negative"/>
    <x v="0"/>
    <d v="2020-05-27T00:00:00"/>
  </r>
  <r>
    <x v="1"/>
    <x v="1"/>
    <s v="EMP-00057"/>
    <x v="1"/>
    <x v="0"/>
    <x v="1"/>
    <n v="15"/>
    <n v="6.6666666666666666E-2"/>
    <s v="Positive"/>
    <x v="0"/>
    <d v="2020-08-06T00:00:00"/>
    <d v="2020-08-07T00:00:00"/>
    <n v="7"/>
    <d v="2020-08-14T00:00:00"/>
    <n v="0"/>
    <n v="1"/>
    <s v=""/>
    <s v="Negative"/>
    <x v="0"/>
    <d v="2020-08-17T00:00:00"/>
  </r>
  <r>
    <x v="2"/>
    <x v="2"/>
    <s v="EMP-00014"/>
    <x v="2"/>
    <x v="0"/>
    <x v="2"/>
    <n v="16"/>
    <n v="6.25E-2"/>
    <s v="Positive"/>
    <x v="0"/>
    <d v="2020-03-31T00:00:00"/>
    <d v="2020-04-01T00:00:00"/>
    <n v="14"/>
    <d v="2020-04-15T00:00:00"/>
    <n v="0"/>
    <n v="1"/>
    <s v=""/>
    <s v="Negative"/>
    <x v="0"/>
    <d v="2020-04-18T00:00:00"/>
  </r>
  <r>
    <x v="3"/>
    <x v="3"/>
    <s v="EMP-00040"/>
    <x v="3"/>
    <x v="0"/>
    <x v="0"/>
    <n v="13"/>
    <n v="7.6923076923076927E-2"/>
    <s v="Positive"/>
    <x v="0"/>
    <d v="2020-03-09T00:00:00"/>
    <d v="2020-03-10T00:00:00"/>
    <n v="14"/>
    <d v="2020-03-24T00:00:00"/>
    <n v="0"/>
    <n v="1"/>
    <s v=""/>
    <s v="Negative"/>
    <x v="0"/>
    <d v="2020-03-27T00:00:00"/>
  </r>
  <r>
    <x v="4"/>
    <x v="4"/>
    <s v="EMP-00090"/>
    <x v="4"/>
    <x v="0"/>
    <x v="2"/>
    <n v="16"/>
    <n v="6.25E-2"/>
    <s v="Positive"/>
    <x v="0"/>
    <d v="2020-03-23T00:00:00"/>
    <d v="2020-03-24T00:00:00"/>
    <n v="14"/>
    <d v="2020-04-07T00:00:00"/>
    <n v="0"/>
    <n v="1"/>
    <s v=""/>
    <s v="Negative"/>
    <x v="0"/>
    <d v="2020-04-10T00:00:00"/>
  </r>
  <r>
    <x v="5"/>
    <x v="5"/>
    <s v="EMP-00056"/>
    <x v="5"/>
    <x v="0"/>
    <x v="3"/>
    <n v="13"/>
    <n v="7.6923076923076927E-2"/>
    <s v="Positive"/>
    <x v="0"/>
    <d v="2020-04-08T00:00:00"/>
    <d v="2020-04-09T00:00:00"/>
    <n v="14"/>
    <d v="2020-04-23T00:00:00"/>
    <n v="0"/>
    <n v="1"/>
    <s v=""/>
    <s v="Negative"/>
    <x v="0"/>
    <d v="2020-04-26T00:00:00"/>
  </r>
  <r>
    <x v="6"/>
    <x v="6"/>
    <s v="EMP-00062"/>
    <x v="6"/>
    <x v="0"/>
    <x v="4"/>
    <n v="10"/>
    <n v="0.1"/>
    <s v="Positive"/>
    <x v="0"/>
    <d v="2020-04-05T00:00:00"/>
    <d v="2020-04-06T00:00:00"/>
    <n v="14"/>
    <d v="2020-04-20T00:00:00"/>
    <n v="0"/>
    <n v="1"/>
    <s v=""/>
    <s v="Negative"/>
    <x v="0"/>
    <d v="2020-04-23T00:00:00"/>
  </r>
  <r>
    <x v="7"/>
    <x v="7"/>
    <s v="EMP-00083"/>
    <x v="7"/>
    <x v="0"/>
    <x v="0"/>
    <n v="13"/>
    <n v="7.6923076923076927E-2"/>
    <s v="Positive"/>
    <x v="0"/>
    <d v="2020-10-13T00:00:00"/>
    <d v="2020-10-14T00:00:00"/>
    <n v="14"/>
    <d v="2020-10-28T00:00:00"/>
    <n v="0"/>
    <n v="1"/>
    <s v=""/>
    <s v="Negative"/>
    <x v="0"/>
    <d v="2020-10-31T00:00:00"/>
  </r>
  <r>
    <x v="8"/>
    <x v="8"/>
    <s v="EMP-00010"/>
    <x v="8"/>
    <x v="0"/>
    <x v="0"/>
    <n v="13"/>
    <n v="7.6923076923076927E-2"/>
    <s v="Positive"/>
    <x v="0"/>
    <d v="2020-07-08T00:00:00"/>
    <d v="2020-07-09T00:00:00"/>
    <n v="14"/>
    <d v="2020-07-23T00:00:00"/>
    <n v="0"/>
    <n v="1"/>
    <s v=""/>
    <s v="Negative"/>
    <x v="0"/>
    <d v="2020-07-26T00:00:00"/>
  </r>
  <r>
    <x v="9"/>
    <x v="9"/>
    <s v="EMP-00085"/>
    <x v="1"/>
    <x v="1"/>
    <x v="5"/>
    <n v="18"/>
    <n v="5.5555555555555552E-2"/>
    <s v="Positive"/>
    <x v="0"/>
    <d v="2020-06-26T00:00:00"/>
    <d v="2020-06-27T00:00:00"/>
    <n v="14"/>
    <d v="2020-07-11T00:00:00"/>
    <n v="0"/>
    <n v="1"/>
    <s v=""/>
    <s v="Negative"/>
    <x v="0"/>
    <d v="2020-07-14T00:00:00"/>
  </r>
  <r>
    <x v="10"/>
    <x v="10"/>
    <s v="EMP-00005"/>
    <x v="5"/>
    <x v="0"/>
    <x v="4"/>
    <n v="10"/>
    <n v="0.1"/>
    <s v="Positive"/>
    <x v="0"/>
    <d v="2020-08-11T00:00:00"/>
    <d v="2020-08-12T00:00:00"/>
    <n v="14"/>
    <d v="2020-08-26T00:00:00"/>
    <n v="0"/>
    <n v="1"/>
    <s v=""/>
    <s v="Negative"/>
    <x v="0"/>
    <d v="2020-08-29T00:00:00"/>
  </r>
  <r>
    <x v="11"/>
    <x v="5"/>
    <s v="EMP-00056"/>
    <x v="5"/>
    <x v="0"/>
    <x v="3"/>
    <n v="13"/>
    <n v="7.6923076923076927E-2"/>
    <s v="Positive"/>
    <x v="0"/>
    <d v="2020-04-17T00:00:00"/>
    <d v="2020-04-18T00:00:00"/>
    <n v="14"/>
    <d v="2020-05-02T00:00:00"/>
    <n v="0"/>
    <n v="1"/>
    <s v=""/>
    <s v="Negative"/>
    <x v="0"/>
    <d v="2020-05-05T00:00:00"/>
  </r>
  <r>
    <x v="12"/>
    <x v="11"/>
    <s v="EMP-00060"/>
    <x v="8"/>
    <x v="1"/>
    <x v="5"/>
    <n v="18"/>
    <n v="5.5555555555555552E-2"/>
    <s v="Positive"/>
    <x v="0"/>
    <d v="2020-10-26T00:00:00"/>
    <d v="2020-10-27T00:00:00"/>
    <n v="14"/>
    <d v="2020-11-10T00:00:00"/>
    <n v="0"/>
    <n v="1"/>
    <s v=""/>
    <s v="Negative"/>
    <x v="0"/>
    <d v="2020-11-13T00:00:00"/>
  </r>
  <r>
    <x v="13"/>
    <x v="12"/>
    <s v="EMP-00017"/>
    <x v="7"/>
    <x v="1"/>
    <x v="0"/>
    <n v="13"/>
    <n v="7.6923076923076927E-2"/>
    <s v="Positive"/>
    <x v="0"/>
    <d v="2020-08-14T00:00:00"/>
    <d v="2020-08-15T00:00:00"/>
    <n v="14"/>
    <d v="2020-08-29T00:00:00"/>
    <n v="0"/>
    <n v="1"/>
    <s v=""/>
    <s v="Negative"/>
    <x v="0"/>
    <d v="2020-09-01T00:00:00"/>
  </r>
  <r>
    <x v="14"/>
    <x v="13"/>
    <s v="EMP-00030"/>
    <x v="8"/>
    <x v="0"/>
    <x v="0"/>
    <n v="13"/>
    <n v="7.6923076923076927E-2"/>
    <s v="Positive"/>
    <x v="0"/>
    <d v="2020-10-29T00:00:00"/>
    <d v="2020-10-30T00:00:00"/>
    <n v="14"/>
    <d v="2020-11-13T00:00:00"/>
    <n v="0"/>
    <n v="1"/>
    <s v=""/>
    <s v="Negative"/>
    <x v="0"/>
    <d v="2020-11-16T00:00:00"/>
  </r>
  <r>
    <x v="15"/>
    <x v="14"/>
    <s v="EMP-00036"/>
    <x v="8"/>
    <x v="1"/>
    <x v="3"/>
    <n v="13"/>
    <n v="7.6923076923076927E-2"/>
    <s v="Negative"/>
    <x v="1"/>
    <d v="2020-02-15T00:00:00"/>
    <d v="2020-02-16T00:00:00"/>
    <n v="7"/>
    <d v="2020-02-23T00:00:00"/>
    <n v="0"/>
    <n v="1"/>
    <s v=""/>
    <s v="Negative"/>
    <x v="0"/>
    <d v="2020-02-26T00:00:00"/>
  </r>
  <r>
    <x v="16"/>
    <x v="15"/>
    <s v="EMP-00095"/>
    <x v="8"/>
    <x v="0"/>
    <x v="6"/>
    <n v="12"/>
    <n v="8.3333333333333329E-2"/>
    <s v="Positive"/>
    <x v="0"/>
    <d v="2020-06-17T00:00:00"/>
    <d v="2020-06-18T00:00:00"/>
    <n v="14"/>
    <d v="2020-07-02T00:00:00"/>
    <n v="0"/>
    <n v="1"/>
    <s v=""/>
    <s v="Negative"/>
    <x v="0"/>
    <d v="2020-07-05T00:00:00"/>
  </r>
  <r>
    <x v="17"/>
    <x v="16"/>
    <s v="EMP-00042"/>
    <x v="4"/>
    <x v="0"/>
    <x v="1"/>
    <n v="15"/>
    <n v="6.6666666666666666E-2"/>
    <s v="Positive"/>
    <x v="0"/>
    <d v="2020-03-17T00:00:00"/>
    <d v="2020-03-18T00:00:00"/>
    <n v="14"/>
    <d v="2020-04-01T00:00:00"/>
    <n v="0"/>
    <n v="1"/>
    <s v=""/>
    <s v="Negative"/>
    <x v="0"/>
    <d v="2020-04-04T00:00:00"/>
  </r>
  <r>
    <x v="18"/>
    <x v="17"/>
    <s v="EMP-00041"/>
    <x v="6"/>
    <x v="0"/>
    <x v="2"/>
    <n v="16"/>
    <n v="6.25E-2"/>
    <s v="Positive"/>
    <x v="0"/>
    <d v="2020-09-04T00:00:00"/>
    <d v="2020-09-05T00:00:00"/>
    <n v="14"/>
    <d v="2020-09-19T00:00:00"/>
    <n v="0"/>
    <n v="1"/>
    <s v=""/>
    <s v="Negative"/>
    <x v="0"/>
    <d v="2020-09-22T00:00:00"/>
  </r>
  <r>
    <x v="19"/>
    <x v="18"/>
    <s v="EMP-00023"/>
    <x v="0"/>
    <x v="1"/>
    <x v="5"/>
    <n v="18"/>
    <n v="5.5555555555555552E-2"/>
    <s v="Negative"/>
    <x v="0"/>
    <d v="2020-12-10T00:00:00"/>
    <d v="2020-12-14T00:00:00"/>
    <n v="14"/>
    <d v="2020-12-28T00:00:00"/>
    <n v="8"/>
    <n v="0.42857142857142855"/>
    <n v="1"/>
    <m/>
    <x v="1"/>
    <m/>
  </r>
  <r>
    <x v="20"/>
    <x v="19"/>
    <s v="EMP-00007"/>
    <x v="9"/>
    <x v="0"/>
    <x v="2"/>
    <n v="16"/>
    <n v="6.25E-2"/>
    <s v="Positive"/>
    <x v="0"/>
    <d v="2020-08-01T00:00:00"/>
    <d v="2020-08-02T00:00:00"/>
    <n v="14"/>
    <d v="2020-08-16T00:00:00"/>
    <n v="0"/>
    <n v="1"/>
    <s v=""/>
    <s v="Negative"/>
    <x v="0"/>
    <d v="2020-08-19T00:00:00"/>
  </r>
  <r>
    <x v="21"/>
    <x v="20"/>
    <s v="EMP-00074"/>
    <x v="6"/>
    <x v="0"/>
    <x v="7"/>
    <n v="7"/>
    <n v="0.14285714285714285"/>
    <s v="Positive"/>
    <x v="0"/>
    <d v="2020-04-19T00:00:00"/>
    <d v="2020-04-20T00:00:00"/>
    <n v="14"/>
    <d v="2020-05-04T00:00:00"/>
    <n v="0"/>
    <n v="1"/>
    <s v=""/>
    <s v="Negative"/>
    <x v="0"/>
    <d v="2020-05-07T00:00:00"/>
  </r>
  <r>
    <x v="22"/>
    <x v="21"/>
    <s v="EMP-00097"/>
    <x v="8"/>
    <x v="1"/>
    <x v="5"/>
    <n v="18"/>
    <n v="5.5555555555555552E-2"/>
    <s v="Positive"/>
    <x v="0"/>
    <d v="2020-08-10T00:00:00"/>
    <d v="2020-08-11T00:00:00"/>
    <n v="14"/>
    <d v="2020-08-25T00:00:00"/>
    <n v="0"/>
    <n v="1"/>
    <s v=""/>
    <s v="Negative"/>
    <x v="0"/>
    <d v="2020-08-28T00:00:00"/>
  </r>
  <r>
    <x v="23"/>
    <x v="22"/>
    <s v="EMP-00031"/>
    <x v="9"/>
    <x v="1"/>
    <x v="1"/>
    <n v="15"/>
    <n v="6.6666666666666666E-2"/>
    <s v="Negative"/>
    <x v="1"/>
    <d v="2020-10-10T00:00:00"/>
    <d v="2020-10-11T00:00:00"/>
    <n v="7"/>
    <d v="2020-10-18T00:00:00"/>
    <n v="0"/>
    <n v="1"/>
    <s v=""/>
    <s v="Negative"/>
    <x v="0"/>
    <d v="2020-10-21T00:00:00"/>
  </r>
  <r>
    <x v="24"/>
    <x v="23"/>
    <s v="EMP-00064"/>
    <x v="6"/>
    <x v="1"/>
    <x v="5"/>
    <n v="18"/>
    <n v="5.5555555555555552E-2"/>
    <s v="Negative"/>
    <x v="1"/>
    <d v="2020-05-04T00:00:00"/>
    <d v="2020-05-05T00:00:00"/>
    <n v="7"/>
    <d v="2020-05-12T00:00:00"/>
    <n v="0"/>
    <n v="1"/>
    <s v=""/>
    <s v="Negative"/>
    <x v="0"/>
    <d v="2020-05-15T00:00:00"/>
  </r>
  <r>
    <x v="16"/>
    <x v="24"/>
    <s v="EMP-00100"/>
    <x v="6"/>
    <x v="0"/>
    <x v="2"/>
    <n v="16"/>
    <n v="6.25E-2"/>
    <s v="Positive"/>
    <x v="0"/>
    <d v="2020-06-17T00:00:00"/>
    <d v="2020-06-18T00:00:00"/>
    <n v="14"/>
    <d v="2020-07-02T00:00:00"/>
    <n v="0"/>
    <n v="1"/>
    <s v=""/>
    <s v="Negative"/>
    <x v="0"/>
    <d v="2020-07-05T00:00:00"/>
  </r>
  <r>
    <x v="25"/>
    <x v="25"/>
    <s v="EMP-00045"/>
    <x v="7"/>
    <x v="1"/>
    <x v="5"/>
    <n v="18"/>
    <n v="5.5555555555555552E-2"/>
    <s v="Positive"/>
    <x v="0"/>
    <d v="2020-09-03T00:00:00"/>
    <d v="2020-09-04T00:00:00"/>
    <n v="14"/>
    <d v="2020-09-18T00:00:00"/>
    <n v="0"/>
    <n v="1"/>
    <s v=""/>
    <s v="Negative"/>
    <x v="0"/>
    <d v="2020-09-21T00:00:00"/>
  </r>
  <r>
    <x v="26"/>
    <x v="26"/>
    <s v="EMP-00104"/>
    <x v="0"/>
    <x v="1"/>
    <x v="6"/>
    <n v="12"/>
    <n v="8.3333333333333329E-2"/>
    <s v="Positive"/>
    <x v="0"/>
    <d v="2020-08-18T00:00:00"/>
    <d v="2020-08-19T00:00:00"/>
    <n v="14"/>
    <d v="2020-09-02T00:00:00"/>
    <n v="0"/>
    <n v="1"/>
    <s v=""/>
    <s v="Negative"/>
    <x v="0"/>
    <d v="2020-09-05T00:00:00"/>
  </r>
  <r>
    <x v="27"/>
    <x v="27"/>
    <s v="EMP-00015"/>
    <x v="5"/>
    <x v="0"/>
    <x v="4"/>
    <n v="10"/>
    <n v="0.1"/>
    <s v="Positive"/>
    <x v="0"/>
    <d v="2020-06-28T00:00:00"/>
    <d v="2020-06-29T00:00:00"/>
    <n v="14"/>
    <d v="2020-07-13T00:00:00"/>
    <n v="0"/>
    <n v="1"/>
    <s v=""/>
    <s v="Negative"/>
    <x v="0"/>
    <d v="2020-07-16T00:00:00"/>
  </r>
  <r>
    <x v="5"/>
    <x v="28"/>
    <s v="EMP-00079"/>
    <x v="1"/>
    <x v="0"/>
    <x v="6"/>
    <n v="12"/>
    <n v="8.3333333333333329E-2"/>
    <s v="Positive"/>
    <x v="0"/>
    <d v="2020-04-08T00:00:00"/>
    <d v="2020-04-09T00:00:00"/>
    <n v="14"/>
    <d v="2020-04-23T00:00:00"/>
    <n v="0"/>
    <n v="1"/>
    <s v=""/>
    <s v="Negative"/>
    <x v="0"/>
    <d v="2020-04-26T00:00:00"/>
  </r>
  <r>
    <x v="28"/>
    <x v="20"/>
    <s v="EMP-00074"/>
    <x v="6"/>
    <x v="0"/>
    <x v="7"/>
    <n v="7"/>
    <n v="0.14285714285714285"/>
    <s v="Positive"/>
    <x v="0"/>
    <d v="2020-06-07T00:00:00"/>
    <d v="2020-06-08T00:00:00"/>
    <n v="14"/>
    <d v="2020-06-22T00:00:00"/>
    <n v="0"/>
    <n v="1"/>
    <s v=""/>
    <s v="Negative"/>
    <x v="0"/>
    <d v="2020-06-25T00:00:00"/>
  </r>
  <r>
    <x v="29"/>
    <x v="29"/>
    <s v="EMP-00037"/>
    <x v="6"/>
    <x v="1"/>
    <x v="3"/>
    <n v="13"/>
    <n v="7.6923076923076927E-2"/>
    <s v="Positive"/>
    <x v="0"/>
    <d v="2020-04-20T00:00:00"/>
    <d v="2020-04-21T00:00:00"/>
    <n v="14"/>
    <d v="2020-05-05T00:00:00"/>
    <n v="0"/>
    <n v="1"/>
    <s v=""/>
    <s v="Negative"/>
    <x v="0"/>
    <d v="2020-05-08T00:00:00"/>
  </r>
  <r>
    <x v="30"/>
    <x v="30"/>
    <s v="EMP-00069"/>
    <x v="8"/>
    <x v="0"/>
    <x v="6"/>
    <n v="12"/>
    <n v="8.3333333333333329E-2"/>
    <s v="Positive"/>
    <x v="0"/>
    <d v="2020-11-19T00:00:00"/>
    <d v="2020-11-20T00:00:00"/>
    <n v="14"/>
    <d v="2020-12-04T00:00:00"/>
    <n v="0"/>
    <n v="1"/>
    <s v=""/>
    <s v="Negative"/>
    <x v="0"/>
    <d v="2020-12-07T00:00:00"/>
  </r>
  <r>
    <x v="31"/>
    <x v="31"/>
    <s v="EMP-00029"/>
    <x v="1"/>
    <x v="0"/>
    <x v="5"/>
    <n v="18"/>
    <n v="5.5555555555555552E-2"/>
    <s v="Positive"/>
    <x v="0"/>
    <d v="2020-06-09T00:00:00"/>
    <d v="2020-06-10T00:00:00"/>
    <n v="14"/>
    <d v="2020-06-24T00:00:00"/>
    <n v="0"/>
    <n v="1"/>
    <s v=""/>
    <s v="Negative"/>
    <x v="0"/>
    <d v="2020-06-27T00:00:00"/>
  </r>
  <r>
    <x v="32"/>
    <x v="32"/>
    <s v="EMP-00033"/>
    <x v="9"/>
    <x v="1"/>
    <x v="2"/>
    <n v="16"/>
    <n v="6.25E-2"/>
    <s v="Negative"/>
    <x v="1"/>
    <d v="2020-03-13T00:00:00"/>
    <d v="2020-03-14T00:00:00"/>
    <n v="7"/>
    <d v="2020-03-21T00:00:00"/>
    <n v="0"/>
    <n v="1"/>
    <s v=""/>
    <s v="Negative"/>
    <x v="0"/>
    <d v="2020-03-24T00:00:00"/>
  </r>
  <r>
    <x v="33"/>
    <x v="5"/>
    <s v="EMP-00056"/>
    <x v="5"/>
    <x v="0"/>
    <x v="3"/>
    <n v="13"/>
    <n v="7.6923076923076927E-2"/>
    <s v="Positive"/>
    <x v="0"/>
    <d v="2020-11-10T00:00:00"/>
    <d v="2020-11-11T00:00:00"/>
    <n v="14"/>
    <d v="2020-11-25T00:00:00"/>
    <n v="0"/>
    <n v="1"/>
    <s v=""/>
    <s v="Negative"/>
    <x v="0"/>
    <d v="2020-11-28T00:00:00"/>
  </r>
  <r>
    <x v="17"/>
    <x v="13"/>
    <s v="EMP-00030"/>
    <x v="8"/>
    <x v="0"/>
    <x v="0"/>
    <n v="13"/>
    <n v="7.6923076923076927E-2"/>
    <s v="Positive"/>
    <x v="0"/>
    <d v="2020-03-17T00:00:00"/>
    <d v="2020-03-18T00:00:00"/>
    <n v="14"/>
    <d v="2020-04-01T00:00:00"/>
    <n v="0"/>
    <n v="1"/>
    <s v=""/>
    <s v="Negative"/>
    <x v="0"/>
    <d v="2020-04-04T00:00:00"/>
  </r>
  <r>
    <x v="34"/>
    <x v="33"/>
    <s v="EMP-00094"/>
    <x v="0"/>
    <x v="1"/>
    <x v="1"/>
    <n v="15"/>
    <n v="6.6666666666666666E-2"/>
    <s v="Positive"/>
    <x v="0"/>
    <d v="2020-09-10T00:00:00"/>
    <d v="2020-09-11T00:00:00"/>
    <n v="14"/>
    <d v="2020-09-25T00:00:00"/>
    <n v="0"/>
    <n v="1"/>
    <s v=""/>
    <s v="Negative"/>
    <x v="0"/>
    <d v="2020-09-28T00:00:00"/>
  </r>
  <r>
    <x v="35"/>
    <x v="25"/>
    <s v="EMP-00045"/>
    <x v="7"/>
    <x v="1"/>
    <x v="5"/>
    <n v="18"/>
    <n v="5.5555555555555552E-2"/>
    <s v="Negative"/>
    <x v="1"/>
    <d v="2020-06-01T00:00:00"/>
    <d v="2020-06-02T00:00:00"/>
    <n v="7"/>
    <d v="2020-06-09T00:00:00"/>
    <n v="0"/>
    <n v="1"/>
    <s v=""/>
    <s v="Negative"/>
    <x v="0"/>
    <d v="2020-06-12T00:00:00"/>
  </r>
  <r>
    <x v="36"/>
    <x v="34"/>
    <s v="EMP-00088"/>
    <x v="10"/>
    <x v="1"/>
    <x v="4"/>
    <n v="10"/>
    <n v="0.1"/>
    <s v="Positive"/>
    <x v="0"/>
    <d v="2020-12-07T00:00:00"/>
    <d v="2020-12-07T00:00:00"/>
    <n v="14"/>
    <d v="2020-12-21T00:00:00"/>
    <n v="1"/>
    <n v="0.9285714285714286"/>
    <n v="1"/>
    <m/>
    <x v="1"/>
    <m/>
  </r>
  <r>
    <x v="37"/>
    <x v="10"/>
    <s v="EMP-00005"/>
    <x v="5"/>
    <x v="0"/>
    <x v="4"/>
    <n v="10"/>
    <n v="0.1"/>
    <s v="Positive"/>
    <x v="0"/>
    <d v="2020-12-17T00:00:00"/>
    <d v="2020-12-19T00:00:00"/>
    <n v="14"/>
    <d v="2021-01-02T00:00:00"/>
    <n v="13"/>
    <n v="7.1428571428571425E-2"/>
    <n v="1"/>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FB37DF-056E-403F-BA73-291FB388CD59}" name="quarinated"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O3:AP12" firstHeaderRow="1" firstDataRow="1" firstDataCol="1"/>
  <pivotFields count="23">
    <pivotField numFmtId="166" showAll="0"/>
    <pivotField showAll="0"/>
    <pivotField showAll="0"/>
    <pivotField numFmtId="1" showAll="0"/>
    <pivotField showAll="0"/>
    <pivotField axis="axisRow" showAll="0">
      <items count="11">
        <item x="7"/>
        <item x="4"/>
        <item x="2"/>
        <item x="3"/>
        <item x="6"/>
        <item m="1" x="9"/>
        <item x="1"/>
        <item x="0"/>
        <item x="5"/>
        <item m="1" x="8"/>
        <item t="default"/>
      </items>
    </pivotField>
    <pivotField numFmtId="1" showAll="0"/>
    <pivotField numFmtId="9" showAll="0"/>
    <pivotField showAll="0"/>
    <pivotField showAll="0">
      <items count="4">
        <item x="0"/>
        <item x="1"/>
        <item m="1" x="2"/>
        <item t="default"/>
      </items>
    </pivotField>
    <pivotField numFmtId="166" showAll="0"/>
    <pivotField numFmtId="166" showAll="0"/>
    <pivotField numFmtId="1" showAll="0"/>
    <pivotField numFmtId="166" showAll="0"/>
    <pivotField numFmtId="1" showAll="0"/>
    <pivotField numFmtId="9" showAll="0"/>
    <pivotField dataField="1" showAll="0"/>
    <pivotField showAll="0"/>
    <pivotField showAll="0"/>
    <pivotField numFmtId="166" showAll="0"/>
    <pivotField dragToRow="0" dragToCol="0" dragToPage="0" showAll="0" defaultSubtotal="0"/>
    <pivotField dragToRow="0" dragToCol="0" dragToPage="0" showAll="0" defaultSubtotal="0"/>
    <pivotField dragToRow="0" dragToCol="0" dragToPage="0" showAll="0" defaultSubtotal="0"/>
  </pivotFields>
  <rowFields count="1">
    <field x="5"/>
  </rowFields>
  <rowItems count="9">
    <i>
      <x/>
    </i>
    <i>
      <x v="1"/>
    </i>
    <i>
      <x v="2"/>
    </i>
    <i>
      <x v="3"/>
    </i>
    <i>
      <x v="4"/>
    </i>
    <i>
      <x v="6"/>
    </i>
    <i>
      <x v="7"/>
    </i>
    <i>
      <x v="8"/>
    </i>
    <i t="grand">
      <x/>
    </i>
  </rowItems>
  <colItems count="1">
    <i/>
  </colItems>
  <dataFields count="1">
    <dataField name="Sum of Home quarantine" fld="16"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2F0AC8-2E10-483C-86F9-8FCBAA50E146}" name="EMPLOYEE_COUNT"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A3:A96" firstHeaderRow="1" firstDataRow="1" firstDataCol="1"/>
  <pivotFields count="13">
    <pivotField numFmtId="16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95">
        <item x="59"/>
        <item x="25"/>
        <item x="74"/>
        <item x="32"/>
        <item x="43"/>
        <item x="45"/>
        <item x="22"/>
        <item x="79"/>
        <item x="91"/>
        <item x="66"/>
        <item x="20"/>
        <item x="12"/>
        <item x="7"/>
        <item x="76"/>
        <item x="28"/>
        <item x="42"/>
        <item x="49"/>
        <item x="78"/>
        <item x="87"/>
        <item x="34"/>
        <item x="38"/>
        <item x="6"/>
        <item x="19"/>
        <item x="54"/>
        <item x="5"/>
        <item x="39"/>
        <item x="29"/>
        <item x="35"/>
        <item x="46"/>
        <item x="14"/>
        <item x="80"/>
        <item x="33"/>
        <item x="4"/>
        <item x="15"/>
        <item x="70"/>
        <item m="1" x="93"/>
        <item x="11"/>
        <item x="36"/>
        <item x="13"/>
        <item x="69"/>
        <item x="82"/>
        <item x="75"/>
        <item x="47"/>
        <item x="41"/>
        <item x="61"/>
        <item x="3"/>
        <item x="9"/>
        <item x="8"/>
        <item x="88"/>
        <item x="10"/>
        <item x="58"/>
        <item x="31"/>
        <item x="17"/>
        <item x="30"/>
        <item x="86"/>
        <item x="68"/>
        <item x="24"/>
        <item x="92"/>
        <item x="18"/>
        <item x="21"/>
        <item x="73"/>
        <item x="0"/>
        <item x="64"/>
        <item x="89"/>
        <item x="37"/>
        <item x="26"/>
        <item x="90"/>
        <item x="55"/>
        <item x="48"/>
        <item x="65"/>
        <item x="71"/>
        <item x="57"/>
        <item x="81"/>
        <item x="50"/>
        <item x="52"/>
        <item x="51"/>
        <item x="83"/>
        <item x="56"/>
        <item x="23"/>
        <item x="85"/>
        <item x="27"/>
        <item x="60"/>
        <item x="84"/>
        <item x="44"/>
        <item x="1"/>
        <item x="16"/>
        <item x="53"/>
        <item x="63"/>
        <item x="40"/>
        <item x="77"/>
        <item x="2"/>
        <item x="72"/>
        <item x="67"/>
        <item x="62"/>
        <item t="default"/>
      </items>
    </pivotField>
    <pivotField showAll="0"/>
    <pivotField numFmtId="1" showAll="0"/>
    <pivotField showAll="0"/>
    <pivotField showAll="0"/>
    <pivotField numFmtId="165"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1"/>
  </rowFields>
  <rowItems count="9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A30ACB-91F9-48A4-9395-B6F55A13A75F}" name="MASK"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3:E6" firstHeaderRow="1" firstDataRow="1" firstDataCol="1"/>
  <pivotFields count="13">
    <pivotField numFmtId="16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showAll="0"/>
    <pivotField showAll="0"/>
    <pivotField numFmtId="1" showAll="0"/>
    <pivotField showAll="0"/>
    <pivotField showAll="0"/>
    <pivotField numFmtId="165" showAll="0"/>
    <pivotField showAll="0"/>
    <pivotField axis="axisRow" showAll="0">
      <items count="3">
        <item x="1"/>
        <item x="0"/>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s>
  <rowFields count="1">
    <field x="8"/>
  </rowFields>
  <rowItems count="3">
    <i>
      <x/>
    </i>
    <i>
      <x v="1"/>
    </i>
    <i t="grand">
      <x/>
    </i>
  </rowItems>
  <colItems count="1">
    <i/>
  </colItems>
  <dataFields count="1">
    <dataField name="Count of Employee Name" fld="1" subtotal="count" showDataAs="percentOfTotal" baseField="0" baseItem="0" numFmtId="9"/>
  </dataFields>
  <formats count="2">
    <format dxfId="79">
      <pivotArea collapsedLevelsAreSubtotals="1" fieldPosition="0">
        <references count="1">
          <reference field="8" count="0"/>
        </references>
      </pivotArea>
    </format>
    <format dxfId="7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B9ECE18-F6E5-4490-B8B4-3B8FFB2E550C}" name="cases" cacheId="0"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location ref="H3:H11" firstHeaderRow="1" firstDataRow="1" firstDataCol="1"/>
  <pivotFields count="13">
    <pivotField numFmtId="16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numFmtId="1" showAll="0"/>
    <pivotField showAll="0"/>
    <pivotField axis="axisRow" showAll="0">
      <items count="10">
        <item x="4"/>
        <item x="1"/>
        <item x="5"/>
        <item x="3"/>
        <item x="2"/>
        <item m="1" x="8"/>
        <item x="6"/>
        <item x="7"/>
        <item x="0"/>
        <item t="default"/>
      </items>
    </pivotField>
    <pivotField numFmtId="165"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5"/>
  </rowFields>
  <rowItems count="8">
    <i>
      <x/>
    </i>
    <i>
      <x v="1"/>
    </i>
    <i>
      <x v="2"/>
    </i>
    <i>
      <x v="3"/>
    </i>
    <i>
      <x v="4"/>
    </i>
    <i>
      <x v="6"/>
    </i>
    <i>
      <x v="7"/>
    </i>
    <i>
      <x v="8"/>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3C35DBC-898B-4E72-BABD-6DDECB805256}" name="Age" cacheId="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I3:AJ15" firstHeaderRow="1" firstDataRow="1" firstDataCol="1"/>
  <pivotFields count="23">
    <pivotField numFmtId="166" showAll="0">
      <items count="40">
        <item x="15"/>
        <item x="3"/>
        <item x="32"/>
        <item x="17"/>
        <item x="4"/>
        <item x="2"/>
        <item x="6"/>
        <item x="5"/>
        <item x="11"/>
        <item x="21"/>
        <item x="29"/>
        <item x="24"/>
        <item x="0"/>
        <item x="35"/>
        <item x="28"/>
        <item x="31"/>
        <item x="16"/>
        <item x="9"/>
        <item x="27"/>
        <item x="8"/>
        <item x="20"/>
        <item x="1"/>
        <item x="22"/>
        <item x="10"/>
        <item x="13"/>
        <item x="26"/>
        <item x="25"/>
        <item x="18"/>
        <item x="34"/>
        <item x="23"/>
        <item x="7"/>
        <item x="12"/>
        <item x="14"/>
        <item x="33"/>
        <item x="30"/>
        <item x="36"/>
        <item x="19"/>
        <item x="37"/>
        <item m="1" x="38"/>
        <item t="default"/>
      </items>
    </pivotField>
    <pivotField showAll="0">
      <items count="37">
        <item x="0"/>
        <item x="8"/>
        <item x="24"/>
        <item x="26"/>
        <item x="2"/>
        <item x="27"/>
        <item x="12"/>
        <item x="18"/>
        <item x="31"/>
        <item x="13"/>
        <item x="22"/>
        <item x="32"/>
        <item x="14"/>
        <item x="29"/>
        <item x="3"/>
        <item x="17"/>
        <item x="16"/>
        <item x="25"/>
        <item x="10"/>
        <item x="5"/>
        <item x="1"/>
        <item x="11"/>
        <item x="6"/>
        <item x="23"/>
        <item x="30"/>
        <item x="19"/>
        <item x="20"/>
        <item x="28"/>
        <item x="7"/>
        <item x="9"/>
        <item x="34"/>
        <item x="4"/>
        <item x="33"/>
        <item x="15"/>
        <item x="21"/>
        <item m="1" x="35"/>
        <item t="default"/>
      </items>
    </pivotField>
    <pivotField showAll="0"/>
    <pivotField axis="axisRow" numFmtId="1" showAll="0">
      <items count="12">
        <item x="0"/>
        <item x="1"/>
        <item x="2"/>
        <item x="3"/>
        <item x="4"/>
        <item x="5"/>
        <item x="6"/>
        <item x="7"/>
        <item x="8"/>
        <item x="9"/>
        <item x="10"/>
        <item t="default"/>
      </items>
    </pivotField>
    <pivotField showAll="0"/>
    <pivotField showAll="0">
      <items count="11">
        <item m="1" x="8"/>
        <item x="7"/>
        <item x="4"/>
        <item x="2"/>
        <item x="3"/>
        <item x="6"/>
        <item m="1" x="9"/>
        <item x="1"/>
        <item x="0"/>
        <item x="5"/>
        <item t="default"/>
      </items>
    </pivotField>
    <pivotField numFmtId="1" showAll="0"/>
    <pivotField numFmtId="9" showAll="0"/>
    <pivotField showAll="0"/>
    <pivotField dataField="1" showAll="0">
      <items count="4">
        <item x="0"/>
        <item x="1"/>
        <item m="1" x="2"/>
        <item t="default"/>
      </items>
    </pivotField>
    <pivotField numFmtId="166" showAll="0"/>
    <pivotField numFmtId="166" showAll="0"/>
    <pivotField numFmtId="1" showAll="0"/>
    <pivotField numFmtId="166" showAll="0"/>
    <pivotField numFmtId="1" showAll="0"/>
    <pivotField numFmtId="9" showAll="0"/>
    <pivotField showAll="0"/>
    <pivotField showAll="0"/>
    <pivotField showAll="0"/>
    <pivotField numFmtId="166" showAll="0"/>
    <pivotField dragToRow="0" dragToCol="0" dragToPage="0" showAll="0" defaultSubtotal="0"/>
    <pivotField dragToRow="0" dragToCol="0" dragToPage="0" showAll="0" defaultSubtotal="0"/>
    <pivotField dragToRow="0" dragToCol="0" dragToPage="0" showAll="0" defaultSubtotal="0"/>
  </pivotFields>
  <rowFields count="1">
    <field x="3"/>
  </rowFields>
  <rowItems count="12">
    <i>
      <x/>
    </i>
    <i>
      <x v="1"/>
    </i>
    <i>
      <x v="2"/>
    </i>
    <i>
      <x v="3"/>
    </i>
    <i>
      <x v="4"/>
    </i>
    <i>
      <x v="5"/>
    </i>
    <i>
      <x v="6"/>
    </i>
    <i>
      <x v="7"/>
    </i>
    <i>
      <x v="8"/>
    </i>
    <i>
      <x v="9"/>
    </i>
    <i>
      <x v="10"/>
    </i>
    <i t="grand">
      <x/>
    </i>
  </rowItems>
  <colItems count="1">
    <i/>
  </colItems>
  <dataFields count="1">
    <dataField name="Count of Case Decision" fld="9"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619FFC6-8DE5-4B87-9F45-6E75C34F5607}" name="PivotTable6" cacheId="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6">
  <location ref="N3:Q12" firstHeaderRow="0" firstDataRow="1" firstDataCol="1"/>
  <pivotFields count="23">
    <pivotField numFmtId="166" showAll="0">
      <items count="39">
        <item x="15"/>
        <item x="3"/>
        <item x="32"/>
        <item x="17"/>
        <item x="4"/>
        <item x="2"/>
        <item x="6"/>
        <item x="5"/>
        <item x="11"/>
        <item x="21"/>
        <item x="29"/>
        <item x="24"/>
        <item x="0"/>
        <item x="35"/>
        <item x="28"/>
        <item x="31"/>
        <item x="16"/>
        <item x="9"/>
        <item x="27"/>
        <item x="8"/>
        <item x="20"/>
        <item x="1"/>
        <item x="22"/>
        <item x="10"/>
        <item x="13"/>
        <item x="26"/>
        <item x="25"/>
        <item x="18"/>
        <item x="34"/>
        <item x="23"/>
        <item x="7"/>
        <item x="12"/>
        <item x="14"/>
        <item x="33"/>
        <item x="30"/>
        <item x="36"/>
        <item x="19"/>
        <item x="37"/>
        <item t="default"/>
      </items>
    </pivotField>
    <pivotField showAll="0"/>
    <pivotField showAll="0"/>
    <pivotField numFmtId="1" showAll="0"/>
    <pivotField showAll="0"/>
    <pivotField axis="axisRow" showAll="0">
      <items count="11">
        <item x="7"/>
        <item x="4"/>
        <item x="2"/>
        <item x="3"/>
        <item x="6"/>
        <item m="1" x="9"/>
        <item x="1"/>
        <item x="0"/>
        <item x="5"/>
        <item m="1" x="8"/>
        <item t="default"/>
      </items>
    </pivotField>
    <pivotField dataField="1" numFmtId="1" showAll="0"/>
    <pivotField dataField="1" numFmtId="9" showAll="0"/>
    <pivotField showAll="0"/>
    <pivotField dataField="1" showAll="0">
      <items count="4">
        <item x="0"/>
        <item x="1"/>
        <item m="1" x="2"/>
        <item t="default"/>
      </items>
    </pivotField>
    <pivotField numFmtId="166" showAll="0"/>
    <pivotField numFmtId="166" showAll="0"/>
    <pivotField numFmtId="1" showAll="0"/>
    <pivotField numFmtId="166" showAll="0"/>
    <pivotField numFmtId="1" showAll="0"/>
    <pivotField numFmtId="9" showAll="0"/>
    <pivotField showAll="0"/>
    <pivotField showAll="0"/>
    <pivotField showAll="0"/>
    <pivotField numFmtId="166" showAll="0"/>
    <pivotField dragToRow="0" dragToCol="0" dragToPage="0" showAll="0" defaultSubtotal="0"/>
    <pivotField dragToRow="0" dragToCol="0" dragToPage="0" showAll="0" defaultSubtotal="0"/>
    <pivotField dragToRow="0" dragToCol="0" dragToPage="0" showAll="0" defaultSubtotal="0"/>
  </pivotFields>
  <rowFields count="1">
    <field x="5"/>
  </rowFields>
  <rowItems count="9">
    <i>
      <x/>
    </i>
    <i>
      <x v="1"/>
    </i>
    <i>
      <x v="2"/>
    </i>
    <i>
      <x v="3"/>
    </i>
    <i>
      <x v="4"/>
    </i>
    <i>
      <x v="6"/>
    </i>
    <i>
      <x v="7"/>
    </i>
    <i>
      <x v="8"/>
    </i>
    <i t="grand">
      <x/>
    </i>
  </rowItems>
  <colFields count="1">
    <field x="-2"/>
  </colFields>
  <colItems count="3">
    <i>
      <x/>
    </i>
    <i i="1">
      <x v="1"/>
    </i>
    <i i="2">
      <x v="2"/>
    </i>
  </colItems>
  <dataFields count="3">
    <dataField name="Number Of Cases" fld="9" subtotal="count" baseField="5" baseItem="0"/>
    <dataField name="Department Manpower." fld="6" subtotal="average" baseField="5" baseItem="0"/>
    <dataField name="Infection %" fld="7" baseField="5" baseItem="0" numFmtId="9"/>
  </dataFields>
  <formats count="1">
    <format dxfId="80">
      <pivotArea outline="0" collapsedLevelsAreSubtotals="1" fieldPosition="0">
        <references count="1">
          <reference field="4294967294" count="1" selected="0">
            <x v="2"/>
          </reference>
        </references>
      </pivotArea>
    </format>
  </formats>
  <chartFormats count="5">
    <chartFormat chart="4" format="2"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16D6F19-97B0-451C-943D-CD5C3B3569C7}" name="PivotTable7" cacheId="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S3:V13" firstHeaderRow="1" firstDataRow="2" firstDataCol="1"/>
  <pivotFields count="23">
    <pivotField numFmtId="166" showAll="0">
      <items count="40">
        <item x="15"/>
        <item x="3"/>
        <item x="32"/>
        <item x="17"/>
        <item x="4"/>
        <item x="2"/>
        <item x="6"/>
        <item x="5"/>
        <item x="11"/>
        <item x="21"/>
        <item x="29"/>
        <item x="24"/>
        <item x="0"/>
        <item x="35"/>
        <item x="28"/>
        <item x="31"/>
        <item x="16"/>
        <item x="9"/>
        <item x="27"/>
        <item x="8"/>
        <item x="20"/>
        <item x="1"/>
        <item x="22"/>
        <item x="10"/>
        <item x="13"/>
        <item x="26"/>
        <item x="25"/>
        <item x="18"/>
        <item x="34"/>
        <item x="23"/>
        <item x="7"/>
        <item x="12"/>
        <item x="14"/>
        <item x="33"/>
        <item x="30"/>
        <item x="36"/>
        <item x="19"/>
        <item x="37"/>
        <item m="1" x="38"/>
        <item t="default"/>
      </items>
    </pivotField>
    <pivotField showAll="0"/>
    <pivotField showAll="0"/>
    <pivotField numFmtId="1" showAll="0"/>
    <pivotField showAll="0"/>
    <pivotField axis="axisRow" showAll="0">
      <items count="11">
        <item x="7"/>
        <item x="4"/>
        <item x="2"/>
        <item x="3"/>
        <item x="6"/>
        <item m="1" x="9"/>
        <item x="1"/>
        <item x="0"/>
        <item x="5"/>
        <item m="1" x="8"/>
        <item t="default"/>
      </items>
    </pivotField>
    <pivotField numFmtId="1" showAll="0"/>
    <pivotField numFmtId="9" showAll="0"/>
    <pivotField showAll="0"/>
    <pivotField showAll="0">
      <items count="4">
        <item x="0"/>
        <item x="1"/>
        <item m="1" x="2"/>
        <item t="default"/>
      </items>
    </pivotField>
    <pivotField numFmtId="166" showAll="0"/>
    <pivotField numFmtId="166" showAll="0"/>
    <pivotField numFmtId="1" showAll="0"/>
    <pivotField numFmtId="166" showAll="0"/>
    <pivotField numFmtId="1" showAll="0"/>
    <pivotField numFmtId="9" showAll="0"/>
    <pivotField showAll="0"/>
    <pivotField showAll="0"/>
    <pivotField axis="axisCol" dataField="1" showAll="0">
      <items count="4">
        <item x="0"/>
        <item m="1" x="2"/>
        <item x="1"/>
        <item t="default"/>
      </items>
    </pivotField>
    <pivotField numFmtId="166" showAll="0"/>
    <pivotField dragToRow="0" dragToCol="0" dragToPage="0" showAll="0" defaultSubtotal="0"/>
    <pivotField dragToRow="0" dragToCol="0" dragToPage="0" showAll="0" defaultSubtotal="0"/>
    <pivotField dragToRow="0" dragToCol="0" dragToPage="0" showAll="0" defaultSubtotal="0"/>
  </pivotFields>
  <rowFields count="1">
    <field x="5"/>
  </rowFields>
  <rowItems count="9">
    <i>
      <x/>
    </i>
    <i>
      <x v="1"/>
    </i>
    <i>
      <x v="2"/>
    </i>
    <i>
      <x v="3"/>
    </i>
    <i>
      <x v="4"/>
    </i>
    <i>
      <x v="6"/>
    </i>
    <i>
      <x v="7"/>
    </i>
    <i>
      <x v="8"/>
    </i>
    <i t="grand">
      <x/>
    </i>
  </rowItems>
  <colFields count="1">
    <field x="18"/>
  </colFields>
  <colItems count="3">
    <i>
      <x/>
    </i>
    <i>
      <x v="2"/>
    </i>
    <i t="grand">
      <x/>
    </i>
  </colItems>
  <dataFields count="1">
    <dataField name="Count of Final Status" fld="1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174BAA1-DD0D-47C8-A085-EC3AFBCADDF1}" name="Case_pie" cacheId="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F3:AG12" firstHeaderRow="1" firstDataRow="1" firstDataCol="1"/>
  <pivotFields count="23">
    <pivotField numFmtId="166" showAll="0">
      <items count="39">
        <item x="15"/>
        <item x="3"/>
        <item x="32"/>
        <item x="17"/>
        <item x="4"/>
        <item x="2"/>
        <item x="6"/>
        <item x="5"/>
        <item x="11"/>
        <item x="21"/>
        <item x="29"/>
        <item x="24"/>
        <item x="0"/>
        <item x="35"/>
        <item x="28"/>
        <item x="31"/>
        <item x="16"/>
        <item x="9"/>
        <item x="27"/>
        <item x="8"/>
        <item x="20"/>
        <item x="1"/>
        <item x="22"/>
        <item x="10"/>
        <item x="13"/>
        <item x="26"/>
        <item x="25"/>
        <item x="18"/>
        <item x="34"/>
        <item x="23"/>
        <item x="7"/>
        <item x="12"/>
        <item x="14"/>
        <item x="33"/>
        <item x="30"/>
        <item x="36"/>
        <item x="19"/>
        <item x="37"/>
        <item t="default"/>
      </items>
    </pivotField>
    <pivotField showAll="0"/>
    <pivotField showAll="0"/>
    <pivotField numFmtId="1" showAll="0"/>
    <pivotField showAll="0"/>
    <pivotField axis="axisRow" showAll="0">
      <items count="11">
        <item x="7"/>
        <item x="4"/>
        <item x="2"/>
        <item x="3"/>
        <item x="6"/>
        <item m="1" x="9"/>
        <item x="1"/>
        <item x="0"/>
        <item x="5"/>
        <item m="1" x="8"/>
        <item t="default"/>
      </items>
    </pivotField>
    <pivotField numFmtId="1" showAll="0"/>
    <pivotField numFmtId="9" showAll="0"/>
    <pivotField showAll="0"/>
    <pivotField dataField="1" showAll="0">
      <items count="4">
        <item x="0"/>
        <item x="1"/>
        <item m="1" x="2"/>
        <item t="default"/>
      </items>
    </pivotField>
    <pivotField numFmtId="166" showAll="0"/>
    <pivotField numFmtId="166" showAll="0"/>
    <pivotField numFmtId="1" showAll="0"/>
    <pivotField numFmtId="166" showAll="0"/>
    <pivotField numFmtId="1" showAll="0"/>
    <pivotField numFmtId="9" showAll="0"/>
    <pivotField showAll="0"/>
    <pivotField showAll="0"/>
    <pivotField showAll="0"/>
    <pivotField numFmtId="166" showAll="0"/>
    <pivotField dragToRow="0" dragToCol="0" dragToPage="0" showAll="0" defaultSubtotal="0"/>
    <pivotField dragToRow="0" dragToCol="0" dragToPage="0" showAll="0" defaultSubtotal="0"/>
    <pivotField dragToRow="0" dragToCol="0" dragToPage="0" showAll="0" defaultSubtotal="0"/>
  </pivotFields>
  <rowFields count="1">
    <field x="5"/>
  </rowFields>
  <rowItems count="9">
    <i>
      <x/>
    </i>
    <i>
      <x v="1"/>
    </i>
    <i>
      <x v="2"/>
    </i>
    <i>
      <x v="3"/>
    </i>
    <i>
      <x v="4"/>
    </i>
    <i>
      <x v="6"/>
    </i>
    <i>
      <x v="7"/>
    </i>
    <i>
      <x v="8"/>
    </i>
    <i t="grand">
      <x/>
    </i>
  </rowItems>
  <colItems count="1">
    <i/>
  </colItems>
  <dataFields count="1">
    <dataField name="Count of Case Decision" fld="9" subtotal="count" baseField="0" baseItem="0"/>
  </dataFields>
  <chartFormats count="9">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5" count="1" selected="0">
            <x v="0"/>
          </reference>
        </references>
      </pivotArea>
    </chartFormat>
    <chartFormat chart="2" format="12">
      <pivotArea type="data" outline="0" fieldPosition="0">
        <references count="2">
          <reference field="4294967294" count="1" selected="0">
            <x v="0"/>
          </reference>
          <reference field="5" count="1" selected="0">
            <x v="1"/>
          </reference>
        </references>
      </pivotArea>
    </chartFormat>
    <chartFormat chart="2" format="13">
      <pivotArea type="data" outline="0" fieldPosition="0">
        <references count="2">
          <reference field="4294967294" count="1" selected="0">
            <x v="0"/>
          </reference>
          <reference field="5" count="1" selected="0">
            <x v="2"/>
          </reference>
        </references>
      </pivotArea>
    </chartFormat>
    <chartFormat chart="2" format="14">
      <pivotArea type="data" outline="0" fieldPosition="0">
        <references count="2">
          <reference field="4294967294" count="1" selected="0">
            <x v="0"/>
          </reference>
          <reference field="5" count="1" selected="0">
            <x v="3"/>
          </reference>
        </references>
      </pivotArea>
    </chartFormat>
    <chartFormat chart="2" format="15">
      <pivotArea type="data" outline="0" fieldPosition="0">
        <references count="2">
          <reference field="4294967294" count="1" selected="0">
            <x v="0"/>
          </reference>
          <reference field="5" count="1" selected="0">
            <x v="4"/>
          </reference>
        </references>
      </pivotArea>
    </chartFormat>
    <chartFormat chart="2" format="16">
      <pivotArea type="data" outline="0" fieldPosition="0">
        <references count="2">
          <reference field="4294967294" count="1" selected="0">
            <x v="0"/>
          </reference>
          <reference field="5" count="1" selected="0">
            <x v="6"/>
          </reference>
        </references>
      </pivotArea>
    </chartFormat>
    <chartFormat chart="2" format="17">
      <pivotArea type="data" outline="0" fieldPosition="0">
        <references count="2">
          <reference field="4294967294" count="1" selected="0">
            <x v="0"/>
          </reference>
          <reference field="5" count="1" selected="0">
            <x v="7"/>
          </reference>
        </references>
      </pivotArea>
    </chartFormat>
    <chartFormat chart="2" format="18">
      <pivotArea type="data" outline="0" fieldPosition="0">
        <references count="2">
          <reference field="4294967294" count="1" selected="0">
            <x v="0"/>
          </reference>
          <reference field="5"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CADD339-43FB-4863-879C-07A96FC8B15D}" name="Temp"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X3:Y16" firstHeaderRow="1" firstDataRow="1" firstDataCol="1"/>
  <pivotFields count="13">
    <pivotField axis="axisRow" numFmtId="16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numFmtId="1" showAll="0"/>
    <pivotField showAll="0"/>
    <pivotField showAll="0"/>
    <pivotField dataField="1" numFmtId="165" showAll="0"/>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12"/>
    <field x="0"/>
  </rowFields>
  <rowItems count="13">
    <i>
      <x v="1"/>
    </i>
    <i>
      <x v="2"/>
    </i>
    <i>
      <x v="3"/>
    </i>
    <i>
      <x v="4"/>
    </i>
    <i>
      <x v="5"/>
    </i>
    <i>
      <x v="6"/>
    </i>
    <i>
      <x v="7"/>
    </i>
    <i>
      <x v="8"/>
    </i>
    <i>
      <x v="9"/>
    </i>
    <i>
      <x v="10"/>
    </i>
    <i>
      <x v="11"/>
    </i>
    <i>
      <x v="12"/>
    </i>
    <i t="grand">
      <x/>
    </i>
  </rowItems>
  <colItems count="1">
    <i/>
  </colItems>
  <dataFields count="1">
    <dataField name="Average of TEMP  Cº" fld="6" subtotal="average" baseField="0" baseItem="0" numFmtId="2"/>
  </dataFields>
  <formats count="1">
    <format dxfId="8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EFBC7F9-336F-4D70-B7C1-AB8388F1FEF0}" name="cases_trend" cacheId="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A3:AD43" firstHeaderRow="1" firstDataRow="2" firstDataCol="1"/>
  <pivotFields count="23">
    <pivotField axis="axisRow" numFmtId="166" showAl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7"/>
        <item x="36"/>
        <item m="1" x="38"/>
        <item t="default"/>
      </items>
    </pivotField>
    <pivotField showAll="0">
      <items count="37">
        <item x="0"/>
        <item x="8"/>
        <item x="24"/>
        <item x="26"/>
        <item x="2"/>
        <item x="27"/>
        <item x="12"/>
        <item x="18"/>
        <item x="31"/>
        <item x="13"/>
        <item x="22"/>
        <item x="32"/>
        <item x="14"/>
        <item x="29"/>
        <item x="3"/>
        <item x="17"/>
        <item x="16"/>
        <item x="25"/>
        <item x="10"/>
        <item x="5"/>
        <item x="1"/>
        <item x="11"/>
        <item x="6"/>
        <item x="23"/>
        <item x="30"/>
        <item x="19"/>
        <item x="20"/>
        <item x="28"/>
        <item x="7"/>
        <item x="9"/>
        <item x="34"/>
        <item x="4"/>
        <item x="33"/>
        <item x="15"/>
        <item x="21"/>
        <item m="1" x="35"/>
        <item t="default"/>
      </items>
    </pivotField>
    <pivotField showAll="0"/>
    <pivotField numFmtId="1" showAll="0"/>
    <pivotField showAll="0"/>
    <pivotField showAll="0">
      <items count="11">
        <item m="1" x="8"/>
        <item x="7"/>
        <item x="4"/>
        <item x="2"/>
        <item x="3"/>
        <item x="6"/>
        <item m="1" x="9"/>
        <item x="1"/>
        <item x="0"/>
        <item x="5"/>
        <item t="default"/>
      </items>
    </pivotField>
    <pivotField numFmtId="1" showAll="0"/>
    <pivotField numFmtId="9" showAll="0"/>
    <pivotField showAll="0"/>
    <pivotField axis="axisCol" dataField="1" showAll="0">
      <items count="4">
        <item x="0"/>
        <item x="1"/>
        <item m="1" x="2"/>
        <item t="default"/>
      </items>
    </pivotField>
    <pivotField numFmtId="166" showAll="0"/>
    <pivotField numFmtId="166" showAll="0"/>
    <pivotField numFmtId="1" showAll="0"/>
    <pivotField numFmtId="166" showAll="0"/>
    <pivotField numFmtId="1" showAll="0"/>
    <pivotField numFmtId="9" showAll="0"/>
    <pivotField showAll="0"/>
    <pivotField showAll="0"/>
    <pivotField showAll="0"/>
    <pivotField numFmtId="166" showAll="0"/>
    <pivotField dragToRow="0" dragToCol="0" dragToPage="0" showAll="0" defaultSubtotal="0"/>
    <pivotField dragToRow="0" dragToCol="0" dragToPage="0" showAll="0" defaultSubtotal="0"/>
    <pivotField dragToRow="0" dragToCol="0" dragToPage="0" showAll="0" defaultSubtotal="0"/>
  </pivotFields>
  <rowFields count="1">
    <field x="0"/>
  </rowFields>
  <rowItems count="3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t="grand">
      <x/>
    </i>
  </rowItems>
  <colFields count="1">
    <field x="9"/>
  </colFields>
  <colItems count="3">
    <i>
      <x/>
    </i>
    <i>
      <x v="1"/>
    </i>
    <i t="grand">
      <x/>
    </i>
  </colItems>
  <dataFields count="1">
    <dataField name="Count of Case Decision" fld="9" subtotal="count" baseField="0" baseItem="0"/>
  </dataFields>
  <chartFormats count="4">
    <chartFormat chart="2" format="4" series="1">
      <pivotArea type="data" outline="0" fieldPosition="0">
        <references count="2">
          <reference field="4294967294" count="1" selected="0">
            <x v="0"/>
          </reference>
          <reference field="9" count="1" selected="0">
            <x v="0"/>
          </reference>
        </references>
      </pivotArea>
    </chartFormat>
    <chartFormat chart="2" format="5" series="1">
      <pivotArea type="data" outline="0" fieldPosition="0">
        <references count="2">
          <reference field="4294967294" count="1" selected="0">
            <x v="0"/>
          </reference>
          <reference field="9" count="1" selected="0">
            <x v="1"/>
          </reference>
        </references>
      </pivotArea>
    </chartFormat>
    <chartFormat chart="2" format="6" series="1">
      <pivotArea type="data" outline="0" fieldPosition="0">
        <references count="1">
          <reference field="4294967294" count="1" selected="0">
            <x v="0"/>
          </reference>
        </references>
      </pivotArea>
    </chartFormat>
    <chartFormat chart="2" format="7" series="1">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C5D24AE-27F6-455A-9B87-B2E7392E9EF5}" name="gender" cacheId="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L3:AM6" firstHeaderRow="1" firstDataRow="1" firstDataCol="1"/>
  <pivotFields count="23">
    <pivotField numFmtId="166" showAll="0">
      <items count="39">
        <item x="15"/>
        <item x="3"/>
        <item x="32"/>
        <item x="17"/>
        <item x="4"/>
        <item x="2"/>
        <item x="6"/>
        <item x="5"/>
        <item x="11"/>
        <item x="21"/>
        <item x="29"/>
        <item x="24"/>
        <item x="0"/>
        <item x="35"/>
        <item x="28"/>
        <item x="31"/>
        <item x="16"/>
        <item x="9"/>
        <item x="27"/>
        <item x="8"/>
        <item x="20"/>
        <item x="1"/>
        <item x="22"/>
        <item x="10"/>
        <item x="13"/>
        <item x="26"/>
        <item x="25"/>
        <item x="18"/>
        <item x="34"/>
        <item x="23"/>
        <item x="7"/>
        <item x="12"/>
        <item x="14"/>
        <item x="33"/>
        <item x="30"/>
        <item x="36"/>
        <item x="19"/>
        <item x="37"/>
        <item t="default"/>
      </items>
    </pivotField>
    <pivotField showAll="0">
      <items count="37">
        <item x="0"/>
        <item x="8"/>
        <item x="24"/>
        <item x="26"/>
        <item x="2"/>
        <item x="27"/>
        <item x="12"/>
        <item x="18"/>
        <item x="31"/>
        <item x="13"/>
        <item x="22"/>
        <item x="32"/>
        <item x="14"/>
        <item x="29"/>
        <item x="3"/>
        <item x="17"/>
        <item x="16"/>
        <item x="25"/>
        <item x="10"/>
        <item x="5"/>
        <item x="1"/>
        <item x="11"/>
        <item x="6"/>
        <item x="23"/>
        <item x="30"/>
        <item x="19"/>
        <item x="20"/>
        <item x="28"/>
        <item x="7"/>
        <item x="9"/>
        <item x="34"/>
        <item x="4"/>
        <item x="33"/>
        <item x="15"/>
        <item x="21"/>
        <item m="1" x="35"/>
        <item t="default"/>
      </items>
    </pivotField>
    <pivotField showAll="0"/>
    <pivotField numFmtId="1" showAll="0"/>
    <pivotField axis="axisRow" showAll="0">
      <items count="4">
        <item x="1"/>
        <item x="0"/>
        <item m="1" x="2"/>
        <item t="default"/>
      </items>
    </pivotField>
    <pivotField showAll="0">
      <items count="11">
        <item m="1" x="8"/>
        <item x="7"/>
        <item x="4"/>
        <item x="2"/>
        <item x="3"/>
        <item x="6"/>
        <item m="1" x="9"/>
        <item x="1"/>
        <item x="0"/>
        <item x="5"/>
        <item t="default"/>
      </items>
    </pivotField>
    <pivotField numFmtId="1" showAll="0"/>
    <pivotField numFmtId="9" showAll="0"/>
    <pivotField showAll="0"/>
    <pivotField dataField="1" showAll="0">
      <items count="4">
        <item x="0"/>
        <item x="1"/>
        <item m="1" x="2"/>
        <item t="default"/>
      </items>
    </pivotField>
    <pivotField numFmtId="166" showAll="0"/>
    <pivotField numFmtId="166" showAll="0"/>
    <pivotField numFmtId="1" showAll="0"/>
    <pivotField numFmtId="166" showAll="0"/>
    <pivotField numFmtId="1" showAll="0"/>
    <pivotField numFmtId="9" showAll="0"/>
    <pivotField showAll="0"/>
    <pivotField showAll="0"/>
    <pivotField showAll="0"/>
    <pivotField numFmtId="166" showAll="0"/>
    <pivotField dragToRow="0" dragToCol="0" dragToPage="0" showAll="0" defaultSubtotal="0"/>
    <pivotField dragToRow="0" dragToCol="0" dragToPage="0" showAll="0" defaultSubtotal="0"/>
    <pivotField dragToRow="0" dragToCol="0" dragToPage="0" showAll="0" defaultSubtotal="0"/>
  </pivotFields>
  <rowFields count="1">
    <field x="4"/>
  </rowFields>
  <rowItems count="3">
    <i>
      <x/>
    </i>
    <i>
      <x v="1"/>
    </i>
    <i t="grand">
      <x/>
    </i>
  </rowItems>
  <colItems count="1">
    <i/>
  </colItems>
  <dataFields count="1">
    <dataField name="Count of Case Decision" fld="9" subtotal="count" baseField="0" baseItem="0"/>
  </dataFields>
  <formats count="2">
    <format dxfId="83">
      <pivotArea outline="0" collapsedLevelsAreSubtotals="1" fieldPosition="0"/>
    </format>
    <format dxfId="82">
      <pivotArea outline="0" fieldPosition="0">
        <references count="1">
          <reference field="4294967294" count="1">
            <x v="0"/>
          </reference>
        </references>
      </pivotArea>
    </format>
  </formats>
  <chartFormats count="3">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4" count="1" selected="0">
            <x v="0"/>
          </reference>
        </references>
      </pivotArea>
    </chartFormat>
    <chartFormat chart="2" format="6">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0F36FA5E-A13C-45FD-AC47-06AAD9C81F98}" sourceName="Department">
  <pivotTables>
    <pivotTable tabId="13" name="cases_trend"/>
    <pivotTable tabId="13" name="Age"/>
    <pivotTable tabId="13" name="gender"/>
    <pivotTable tabId="13" name="PivotTable6"/>
    <pivotTable tabId="13" name="PivotTable7"/>
  </pivotTables>
  <data>
    <tabular pivotCacheId="817947667">
      <items count="10">
        <i x="7" s="1"/>
        <i x="4" s="1"/>
        <i x="2" s="1"/>
        <i x="3" s="1"/>
        <i x="6" s="1"/>
        <i x="1" s="1"/>
        <i x="0" s="1"/>
        <i x="5" s="1"/>
        <i x="8" s="1" nd="1"/>
        <i x="9"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Name" xr10:uid="{619F48DB-B525-43B3-A970-A8C75D30A77E}" sourceName="Employee Name">
  <pivotTables>
    <pivotTable tabId="13" name="Age"/>
    <pivotTable tabId="13" name="cases_trend"/>
    <pivotTable tabId="13" name="gender"/>
  </pivotTables>
  <data>
    <tabular pivotCacheId="817947667">
      <items count="36">
        <i x="0" s="1"/>
        <i x="8" s="1"/>
        <i x="24" s="1"/>
        <i x="26" s="1"/>
        <i x="2" s="1"/>
        <i x="27" s="1"/>
        <i x="12" s="1"/>
        <i x="18" s="1"/>
        <i x="31" s="1"/>
        <i x="13" s="1"/>
        <i x="22" s="1"/>
        <i x="32" s="1"/>
        <i x="14" s="1"/>
        <i x="29" s="1"/>
        <i x="3" s="1"/>
        <i x="17" s="1"/>
        <i x="16" s="1"/>
        <i x="25" s="1"/>
        <i x="10" s="1"/>
        <i x="5" s="1"/>
        <i x="1" s="1"/>
        <i x="11" s="1"/>
        <i x="6" s="1"/>
        <i x="23" s="1"/>
        <i x="30" s="1"/>
        <i x="19" s="1"/>
        <i x="20" s="1"/>
        <i x="28" s="1"/>
        <i x="7" s="1"/>
        <i x="9" s="1"/>
        <i x="34" s="1"/>
        <i x="4" s="1"/>
        <i x="33" s="1"/>
        <i x="15" s="1"/>
        <i x="21" s="1"/>
        <i x="3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se_Decision" xr10:uid="{64B829FA-7919-4493-A113-C60EE6E2200E}" sourceName="Case Decision">
  <pivotTables>
    <pivotTable tabId="13" name="cases_trend"/>
    <pivotTable tabId="13" name="Age"/>
    <pivotTable tabId="13" name="Case_pie"/>
    <pivotTable tabId="13" name="gender"/>
    <pivotTable tabId="13" name="PivotTable6"/>
    <pivotTable tabId="13" name="PivotTable7"/>
    <pivotTable tabId="13" name="quarinated"/>
  </pivotTables>
  <data>
    <tabular pivotCacheId="817947667">
      <items count="3">
        <i x="0" s="1"/>
        <i x="1" s="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330C71FB-8DB0-4B1F-99EB-E9CA2D0A655F}" cache="Slicer_Department1" caption="Department" columnCount="2" style="Slicer Style 1" rowHeight="225425"/>
  <slicer name="Employee Name" xr10:uid="{9DE910F1-1839-42E7-96AC-68746A4B22A5}" cache="Slicer_Employee_Name" caption="Employee List" style="Slicer Style 1" rowHeight="225425"/>
  <slicer name="Case Decision" xr10:uid="{0D642CA4-F986-44D9-A074-F052DB186FD8}" cache="Slicer_Case_Decision" caption="Case Decision" columnCount="2" style="Slicer Style 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5C44B5-3FAA-4B4E-B682-8E0FA63F463A}" name="COV_TRACK" displayName="COV_TRACK" ref="B2:M199" totalsRowShown="0" headerRowDxfId="70" dataDxfId="68" headerRowBorderDxfId="69" tableBorderDxfId="67">
  <autoFilter ref="B2:M199" xr:uid="{66A0CD9B-30CE-4068-A8D4-B08A0B893D22}"/>
  <tableColumns count="12">
    <tableColumn id="1" xr3:uid="{35732B20-4DEB-485E-BD58-DCEFD20E2397}" name="Date" dataDxfId="66" totalsRowDxfId="65"/>
    <tableColumn id="2" xr3:uid="{1EDBB62D-EF77-4842-B858-81597F888E66}" name="Employee Name" dataDxfId="64" totalsRowDxfId="63"/>
    <tableColumn id="3" xr3:uid="{87E3CBD9-337F-423B-88BD-8A70EB14478F}" name="Employee Code" dataDxfId="62" totalsRowDxfId="61" dataCellStyle="Comma">
      <calculatedColumnFormula>IFERROR(IF(COV_TRACK[[#This Row],[Employee Name]]="","",VLOOKUP(COV_TRACK[[#This Row],[Employee Name]],Database!B:F,2,0)),"")</calculatedColumnFormula>
    </tableColumn>
    <tableColumn id="15" xr3:uid="{EDCD1510-DC01-4E60-B1CA-4B624A434A2E}" name="Age" dataDxfId="60" totalsRowDxfId="59" dataCellStyle="Comma">
      <calculatedColumnFormula>IFERROR(IF(COV_TRACK[[#This Row],[Employee Name]]="","",VLOOKUP(COV_TRACK[[#This Row],[Employee Name]],Database!B:F,3,0)),"")</calculatedColumnFormula>
    </tableColumn>
    <tableColumn id="13" xr3:uid="{9FF2879A-0838-42B4-97FD-7E9D74A7543E}" name="Gender" dataDxfId="58" totalsRowDxfId="57" dataCellStyle="Comma">
      <calculatedColumnFormula>IFERROR(IF(COV_TRACK[[#This Row],[Employee Name]]="","",VLOOKUP(COV_TRACK[[#This Row],[Employee Name]],Database!B:F,4,0)),"")</calculatedColumnFormula>
    </tableColumn>
    <tableColumn id="14" xr3:uid="{E1833B22-AED8-48AF-8BAD-54C4008DB1EB}" name="Department" dataDxfId="56" totalsRowDxfId="55" dataCellStyle="Comma">
      <calculatedColumnFormula>IFERROR(IF(COV_TRACK[[#This Row],[Employee Name]]="","",VLOOKUP(COV_TRACK[[#This Row],[Employee Name]],Database!B:F,5,0)),"")</calculatedColumnFormula>
    </tableColumn>
    <tableColumn id="4" xr3:uid="{34A7F3F5-BDAE-4132-BDE8-DE8205A8FC46}" name="TEMP  Cº" dataDxfId="54" totalsRowDxfId="53"/>
    <tableColumn id="5" xr3:uid="{5CC6D73E-DF58-4176-9F6E-E3B2F708CCBA}" name="Risk Level" dataDxfId="52" totalsRowDxfId="51" dataCellStyle="Hyperlink">
      <calculatedColumnFormula>IFERROR(IF(COV_TRACK[[#This Row],[TEMP  Cº]]="","",IF(COV_TRACK[[#This Row],[TEMP  Cº]]&lt;=Database!$N$5,Database!$L$5,IF(COV_TRACK[[#This Row],[TEMP  Cº]]&lt;=Database!$N$6,Database!$L$6,IF(COV_TRACK[[#This Row],[TEMP  Cº]]&lt;=Database!$N$7,Database!$L$7,Database!$L$8)))),"")</calculatedColumnFormula>
    </tableColumn>
    <tableColumn id="6" xr3:uid="{CC81E308-3570-4853-AFC3-D4FB9330B470}" name="Wearing Mask" dataDxfId="50" totalsRowDxfId="49"/>
    <tableColumn id="7" xr3:uid="{47D2FDDC-2DE7-424A-9E40-30A3B5B8D9CD}" name="1st Degree Family Status?" dataDxfId="48" totalsRowDxfId="47" dataCellStyle="Percent"/>
    <tableColumn id="8" xr3:uid="{02393D6A-A04B-4E36-8017-95B3C6BEE53F}" name="Direct contaced infected members" dataDxfId="46" totalsRowDxfId="45" dataCellStyle="Percent"/>
    <tableColumn id="12" xr3:uid="{8E857A9B-977D-42EC-8415-4BF58EE8E53C}" name="Disease Symptom" dataDxfId="44" totalsRowDxfId="43" dataCellStyle="Per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1F8E67-E844-4410-BC4B-F3E1D1559051}" name="COV_CASE" displayName="COV_CASE" ref="B2:U43" headerRowDxfId="40" dataDxfId="38" headerRowBorderDxfId="39" tableBorderDxfId="37">
  <tableColumns count="20">
    <tableColumn id="1" xr3:uid="{2B83618F-67D6-4184-BB94-E614D64C5D54}" name="Date" totalsRowFunction="custom" dataDxfId="36" totalsRowDxfId="35">
      <totalsRowFormula>RANDBETWEEN(DATE(2020,1,1),DATE(2020,12,30))</totalsRowFormula>
    </tableColumn>
    <tableColumn id="2" xr3:uid="{612BFE30-191C-4412-A025-AF5DA489DE3B}" name="Employee Name" dataDxfId="34" totalsRowDxfId="33"/>
    <tableColumn id="3" xr3:uid="{F3B6BAB3-0B05-4AD9-B047-395E35A2A048}" name="Employee Code" dataDxfId="32" totalsRowDxfId="31" dataCellStyle="Comma">
      <calculatedColumnFormula>IFERROR(IF(COV_CASE[[#This Row],[Employee Name]]="","",VLOOKUP(COV_CASE[[#This Row],[Employee Name]],Database!B:F,2,0)),"")</calculatedColumnFormula>
    </tableColumn>
    <tableColumn id="15" xr3:uid="{79F8D14A-DC8F-479B-811B-5ACF7B7C350C}" name="Age" dataDxfId="30" totalsRowDxfId="29" dataCellStyle="Comma">
      <calculatedColumnFormula>IFERROR(IF(COV_CASE[[#This Row],[Employee Name]]="","",VLOOKUP(COV_CASE[[#This Row],[Employee Name]],Database!B:F,3,0)),"")</calculatedColumnFormula>
    </tableColumn>
    <tableColumn id="13" xr3:uid="{A5AC92DF-9AD4-4200-B66D-1D28EBB90ED7}" name="Gender" dataDxfId="28" totalsRowDxfId="27" dataCellStyle="Comma">
      <calculatedColumnFormula>IFERROR(IF(COV_CASE[[#This Row],[Employee Name]]="","",VLOOKUP(COV_CASE[[#This Row],[Employee Name]],Database!B:F,4,0)),"")</calculatedColumnFormula>
    </tableColumn>
    <tableColumn id="14" xr3:uid="{136FED25-AF6F-4974-BEE9-F22EDC3C639D}" name="Department" dataDxfId="26" totalsRowDxfId="25" dataCellStyle="Comma">
      <calculatedColumnFormula>IFERROR(IF(COV_CASE[[#This Row],[Employee Name]]="","",VLOOKUP(COV_CASE[[#This Row],[Employee Name]],Database!B:F,5,0)),"")</calculatedColumnFormula>
    </tableColumn>
    <tableColumn id="18" xr3:uid="{A8DE6356-26AD-4806-B564-5EC9AA8CD309}" name="Department Manpower" dataDxfId="24" totalsRowDxfId="23" dataCellStyle="Comma">
      <calculatedColumnFormula>IF(COV_CASE[[#This Row],[Department]]="","",COUNTIF(Database!F:F,COV_CASE[[#This Row],[Department]]))</calculatedColumnFormula>
    </tableColumn>
    <tableColumn id="19" xr3:uid="{48AECF22-E850-4CA2-A140-B2C7E4DD280F}" name="Infected Cases %" dataDxfId="22" totalsRowDxfId="21" dataCellStyle="Percent">
      <calculatedColumnFormula>IFERROR(1/COV_CASE[[#This Row],[Department Manpower]],"")</calculatedColumnFormula>
    </tableColumn>
    <tableColumn id="4" xr3:uid="{E9F44250-81F1-4ACC-86A2-3EFCF74045C4}" name="Covid Test Result" dataDxfId="20" totalsRowDxfId="19" dataCellStyle="Hyperlink"/>
    <tableColumn id="5" xr3:uid="{1E720993-11EC-4BCA-B42E-46604984DADE}" name="Case Decision" dataDxfId="18" totalsRowDxfId="17" dataCellStyle="Hyperlink"/>
    <tableColumn id="6" xr3:uid="{8D7321E5-E420-4E50-A840-997F37C78F0B}" name="Last Working Day" dataDxfId="16" totalsRowDxfId="15"/>
    <tableColumn id="7" xr3:uid="{BF09A907-325A-4C19-81DD-9B0CB297233B}" name="Isolation Date" dataDxfId="14" totalsRowDxfId="13" dataCellStyle="Percent"/>
    <tableColumn id="8" xr3:uid="{EF2F9B5E-4B1A-4F46-964C-390D8F875E35}" name="Isolation Period (In Days)" dataDxfId="12" totalsRowDxfId="11" dataCellStyle="Percent"/>
    <tableColumn id="12" xr3:uid="{EDAC1E2D-66B9-4943-839A-247F8177ACFA}" name="Isolation Ending Date" dataDxfId="10" totalsRowDxfId="9" dataCellStyle="Percent">
      <calculatedColumnFormula>IF(COV_CASE[[#This Row],[Isolation Period (In Days)]]="","",COV_CASE[[#This Row],[Isolation Date]]+COV_CASE[[#This Row],[Isolation Period (In Days)]])</calculatedColumnFormula>
    </tableColumn>
    <tableColumn id="9" xr3:uid="{17070EFE-DBA6-4C6D-8E34-52BB7FD913C5}" name="Remain Days" dataDxfId="8" dataCellStyle="Percent">
      <calculatedColumnFormula>IFERROR(IF(COV_CASE[[#This Row],[Isolation Ending Date]]="","",IF(TODAY()&gt;COV_CASE[[#This Row],[Isolation Ending Date]],0,COV_CASE[[#This Row],[Isolation Ending Date]]-TODAY())),"")</calculatedColumnFormula>
    </tableColumn>
    <tableColumn id="16" xr3:uid="{ED9350D2-50BA-451A-A446-DE49769D23F1}" name="Isolating Completion%" dataDxfId="7" totalsRowDxfId="6" dataCellStyle="Percent">
      <calculatedColumnFormula>IF(COV_CASE[[#This Row],[Remain Days]]="","",(COV_CASE[[#This Row],[Isolation Period (In Days)]]-COV_CASE[[#This Row],[Remain Days]])/COV_CASE[[#This Row],[Isolation Period (In Days)]])</calculatedColumnFormula>
    </tableColumn>
    <tableColumn id="20" xr3:uid="{C4C0955A-7793-4B52-9E8F-0031181F1C22}" name="Home quarantine" dataDxfId="5" totalsRowDxfId="4" dataCellStyle="Percent">
      <calculatedColumnFormula>IF(COV_CASE[[#This Row],[Isolating Completion%]]=1,"",1)</calculatedColumnFormula>
    </tableColumn>
    <tableColumn id="17" xr3:uid="{0A24AD3D-CCE3-4C0F-98CB-EF30516FF6CD}" name="Covid Test Result (After)" dataDxfId="3" totalsRowDxfId="2" dataCellStyle="Percent"/>
    <tableColumn id="10" xr3:uid="{12D2F531-294F-45AA-83F3-6A592259D2BD}" name="Final Status" dataDxfId="1"/>
    <tableColumn id="11" xr3:uid="{F9F962EE-8297-47B5-8A2E-BD69C1BE82DD}" name="Back To Work Date"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9AAFB642-F5AA-497A-B291-732DAF2E0901}" sourceName="Date">
  <pivotTables>
    <pivotTable tabId="13" name="Age"/>
    <pivotTable tabId="13" name="Case_pie"/>
    <pivotTable tabId="13" name="cases_trend"/>
    <pivotTable tabId="13" name="gender"/>
    <pivotTable tabId="13" name="PivotTable6"/>
    <pivotTable tabId="13" name="PivotTable7"/>
  </pivotTables>
  <state minimalRefreshVersion="6" lastRefreshVersion="6" pivotCacheId="817947667" filterType="unknown">
    <bounds startDate="2020-01-01T00:00:00" endDate="2021-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D11C105-3116-4F82-886E-614A586D69F7}" cache="NativeTimeline_Date" caption="Date" level="2" selectionLevel="2" scrollPosition="2020-01-01T00:00:00" style="Timeline Style 1"/>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2.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647F2-CBE2-4E30-B5AE-E4E40867A560}">
  <sheetPr codeName="Sheet1">
    <tabColor theme="0"/>
  </sheetPr>
  <dimension ref="A1:G66"/>
  <sheetViews>
    <sheetView showGridLines="0" showRowColHeaders="0" tabSelected="1" zoomScale="85" zoomScaleNormal="85" workbookViewId="0">
      <pane xSplit="3" topLeftCell="D1" activePane="topRight" state="frozen"/>
      <selection pane="topRight"/>
    </sheetView>
  </sheetViews>
  <sheetFormatPr defaultColWidth="10.140625" defaultRowHeight="15" x14ac:dyDescent="0.2"/>
  <cols>
    <col min="1" max="1" width="24.140625" style="6" customWidth="1"/>
    <col min="2" max="2" width="22.85546875" style="2" customWidth="1"/>
    <col min="3" max="3" width="26.7109375" style="2" customWidth="1"/>
    <col min="4" max="16384" width="10.140625" style="2"/>
  </cols>
  <sheetData>
    <row r="1" spans="1:4" x14ac:dyDescent="0.2">
      <c r="A1" s="1"/>
    </row>
    <row r="2" spans="1:4" x14ac:dyDescent="0.2">
      <c r="A2" s="1"/>
    </row>
    <row r="3" spans="1:4" x14ac:dyDescent="0.2">
      <c r="A3" s="1"/>
    </row>
    <row r="4" spans="1:4" ht="3.6" customHeight="1" x14ac:dyDescent="0.2">
      <c r="A4" s="1"/>
    </row>
    <row r="5" spans="1:4" ht="12.75" x14ac:dyDescent="0.2">
      <c r="A5" s="7" t="s">
        <v>1</v>
      </c>
      <c r="B5" s="3" t="s">
        <v>0</v>
      </c>
      <c r="D5" s="3" t="s">
        <v>328</v>
      </c>
    </row>
    <row r="7" spans="1:4" ht="12.75" x14ac:dyDescent="0.2">
      <c r="A7" s="8"/>
      <c r="B7" s="3" t="s">
        <v>2</v>
      </c>
      <c r="D7" s="2" t="s">
        <v>329</v>
      </c>
    </row>
    <row r="8" spans="1:4" ht="12.75" x14ac:dyDescent="0.2">
      <c r="A8" s="8" t="s">
        <v>317</v>
      </c>
    </row>
    <row r="9" spans="1:4" ht="12.75" x14ac:dyDescent="0.2">
      <c r="A9" s="8" t="s">
        <v>318</v>
      </c>
    </row>
    <row r="10" spans="1:4" ht="12.75" x14ac:dyDescent="0.2">
      <c r="A10" s="8" t="s">
        <v>319</v>
      </c>
    </row>
    <row r="11" spans="1:4" ht="12.75" x14ac:dyDescent="0.2">
      <c r="A11" s="8" t="s">
        <v>320</v>
      </c>
      <c r="B11" s="14"/>
      <c r="C11" s="13"/>
    </row>
    <row r="12" spans="1:4" ht="12.75" x14ac:dyDescent="0.2">
      <c r="A12" s="8"/>
      <c r="B12" s="14" t="s">
        <v>19</v>
      </c>
      <c r="C12" s="13" t="s">
        <v>63</v>
      </c>
      <c r="D12" s="2" t="s">
        <v>330</v>
      </c>
    </row>
    <row r="13" spans="1:4" ht="12.75" x14ac:dyDescent="0.2">
      <c r="A13" s="8"/>
      <c r="B13" s="14"/>
      <c r="C13" s="13" t="s">
        <v>316</v>
      </c>
      <c r="D13" s="2" t="s">
        <v>331</v>
      </c>
    </row>
    <row r="15" spans="1:4" ht="12.75" x14ac:dyDescent="0.2">
      <c r="A15" s="8"/>
    </row>
    <row r="16" spans="1:4" ht="12.75" x14ac:dyDescent="0.2">
      <c r="A16" s="8"/>
      <c r="B16" s="3" t="s">
        <v>3</v>
      </c>
      <c r="D16" s="3">
        <v>2</v>
      </c>
    </row>
    <row r="17" spans="1:4" ht="12.75" x14ac:dyDescent="0.2">
      <c r="A17" s="8"/>
    </row>
    <row r="18" spans="1:4" x14ac:dyDescent="0.2">
      <c r="B18" s="3" t="s">
        <v>4</v>
      </c>
      <c r="C18" s="11"/>
      <c r="D18" s="12"/>
    </row>
    <row r="19" spans="1:4" ht="12.75" x14ac:dyDescent="0.2">
      <c r="A19" s="8"/>
      <c r="B19" s="3"/>
      <c r="C19" s="15" t="s">
        <v>317</v>
      </c>
      <c r="D19" s="2" t="s">
        <v>332</v>
      </c>
    </row>
    <row r="20" spans="1:4" ht="12.75" x14ac:dyDescent="0.2">
      <c r="A20" s="8"/>
      <c r="B20" s="3"/>
      <c r="C20" s="15" t="s">
        <v>318</v>
      </c>
      <c r="D20" s="2" t="s">
        <v>333</v>
      </c>
    </row>
    <row r="21" spans="1:4" ht="12.75" x14ac:dyDescent="0.2">
      <c r="A21" s="8"/>
      <c r="B21" s="3"/>
      <c r="C21" s="15" t="s">
        <v>319</v>
      </c>
      <c r="D21" s="2" t="s">
        <v>334</v>
      </c>
    </row>
    <row r="22" spans="1:4" ht="12.75" x14ac:dyDescent="0.2">
      <c r="A22" s="8"/>
      <c r="B22" s="3"/>
      <c r="C22" s="15" t="s">
        <v>320</v>
      </c>
      <c r="D22" s="2" t="s">
        <v>335</v>
      </c>
    </row>
    <row r="23" spans="1:4" ht="12.75" customHeight="1" x14ac:dyDescent="0.2">
      <c r="C23" s="4"/>
    </row>
    <row r="24" spans="1:4" ht="12.75" customHeight="1" x14ac:dyDescent="0.2">
      <c r="B24" s="3" t="s">
        <v>5</v>
      </c>
      <c r="C24" s="4" t="s">
        <v>6</v>
      </c>
      <c r="D24" s="2" t="s">
        <v>336</v>
      </c>
    </row>
    <row r="25" spans="1:4" ht="12.75" customHeight="1" x14ac:dyDescent="0.2">
      <c r="C25" s="4" t="s">
        <v>7</v>
      </c>
      <c r="D25" s="2" t="s">
        <v>337</v>
      </c>
    </row>
    <row r="26" spans="1:4" ht="12.75" customHeight="1" x14ac:dyDescent="0.2">
      <c r="C26" s="4" t="s">
        <v>8</v>
      </c>
      <c r="D26" s="2" t="s">
        <v>338</v>
      </c>
    </row>
    <row r="27" spans="1:4" ht="12.75" customHeight="1" x14ac:dyDescent="0.2">
      <c r="C27" s="4" t="s">
        <v>9</v>
      </c>
      <c r="D27" s="2" t="s">
        <v>339</v>
      </c>
    </row>
    <row r="28" spans="1:4" ht="12.75" customHeight="1" x14ac:dyDescent="0.2">
      <c r="C28" s="4" t="s">
        <v>10</v>
      </c>
      <c r="D28" s="2" t="s">
        <v>340</v>
      </c>
    </row>
    <row r="29" spans="1:4" ht="12.75" customHeight="1" x14ac:dyDescent="0.2">
      <c r="C29" s="4" t="s">
        <v>11</v>
      </c>
      <c r="D29" s="2" t="s">
        <v>341</v>
      </c>
    </row>
    <row r="30" spans="1:4" ht="12.75" customHeight="1" x14ac:dyDescent="0.2">
      <c r="C30" s="4" t="s">
        <v>12</v>
      </c>
      <c r="D30" s="2" t="s">
        <v>342</v>
      </c>
    </row>
    <row r="31" spans="1:4" ht="12.75" customHeight="1" x14ac:dyDescent="0.2">
      <c r="C31" s="4" t="s">
        <v>13</v>
      </c>
      <c r="D31" s="2" t="s">
        <v>343</v>
      </c>
    </row>
    <row r="32" spans="1:4" ht="12.75" customHeight="1" x14ac:dyDescent="0.2">
      <c r="C32" s="4" t="s">
        <v>14</v>
      </c>
      <c r="D32" s="2" t="s">
        <v>344</v>
      </c>
    </row>
    <row r="33" spans="2:7" ht="12.75" customHeight="1" x14ac:dyDescent="0.2">
      <c r="C33" s="4" t="s">
        <v>15</v>
      </c>
      <c r="D33" s="2" t="s">
        <v>345</v>
      </c>
    </row>
    <row r="34" spans="2:7" ht="12.75" customHeight="1" x14ac:dyDescent="0.2">
      <c r="C34" s="4" t="s">
        <v>20</v>
      </c>
      <c r="D34" s="2" t="s">
        <v>346</v>
      </c>
    </row>
    <row r="35" spans="2:7" ht="12.75" customHeight="1" x14ac:dyDescent="0.2">
      <c r="C35" s="4" t="s">
        <v>21</v>
      </c>
      <c r="D35" s="2" t="s">
        <v>347</v>
      </c>
    </row>
    <row r="36" spans="2:7" ht="12.75" customHeight="1" x14ac:dyDescent="0.2"/>
    <row r="37" spans="2:7" ht="12.75" customHeight="1" x14ac:dyDescent="0.2"/>
    <row r="38" spans="2:7" ht="12.75" customHeight="1" x14ac:dyDescent="0.2">
      <c r="B38" s="14" t="s">
        <v>349</v>
      </c>
      <c r="C38" s="98"/>
      <c r="D38" s="99" t="s">
        <v>350</v>
      </c>
      <c r="E38" s="100"/>
      <c r="F38" s="100"/>
      <c r="G38" s="100"/>
    </row>
    <row r="39" spans="2:7" x14ac:dyDescent="0.2">
      <c r="B39" s="100"/>
      <c r="C39" s="100"/>
      <c r="D39" s="99" t="s">
        <v>351</v>
      </c>
      <c r="E39" s="100"/>
      <c r="F39" s="100"/>
      <c r="G39" s="100"/>
    </row>
    <row r="40" spans="2:7" x14ac:dyDescent="0.2">
      <c r="B40" s="100"/>
      <c r="C40" s="100"/>
      <c r="D40" s="100"/>
      <c r="E40" s="100"/>
      <c r="F40" s="100"/>
      <c r="G40" s="100"/>
    </row>
    <row r="41" spans="2:7" x14ac:dyDescent="0.2">
      <c r="B41" s="100"/>
      <c r="C41" s="101" t="s">
        <v>352</v>
      </c>
      <c r="D41" s="100" t="s">
        <v>353</v>
      </c>
      <c r="E41" s="100"/>
      <c r="F41" s="100"/>
      <c r="G41" s="100"/>
    </row>
    <row r="42" spans="2:7" x14ac:dyDescent="0.2">
      <c r="B42" s="100"/>
      <c r="C42" s="100"/>
      <c r="D42" s="98"/>
      <c r="E42" s="100"/>
      <c r="F42" s="100"/>
      <c r="G42" s="100"/>
    </row>
    <row r="43" spans="2:7" x14ac:dyDescent="0.2">
      <c r="B43" s="100"/>
      <c r="C43" s="100"/>
      <c r="D43" s="98"/>
      <c r="E43" s="100"/>
      <c r="F43" s="100"/>
      <c r="G43" s="100"/>
    </row>
    <row r="44" spans="2:7" x14ac:dyDescent="0.2">
      <c r="B44" s="100"/>
      <c r="C44" s="100"/>
      <c r="D44" s="98"/>
      <c r="E44" s="100"/>
      <c r="F44" s="100"/>
      <c r="G44" s="100"/>
    </row>
    <row r="45" spans="2:7" x14ac:dyDescent="0.2">
      <c r="B45" s="100"/>
      <c r="C45" s="100"/>
      <c r="D45" s="98"/>
      <c r="E45" s="100"/>
      <c r="F45" s="100"/>
      <c r="G45" s="100"/>
    </row>
    <row r="46" spans="2:7" x14ac:dyDescent="0.2">
      <c r="B46" s="100"/>
      <c r="C46" s="100"/>
      <c r="D46" s="98"/>
      <c r="E46" s="100"/>
      <c r="F46" s="100"/>
      <c r="G46" s="100"/>
    </row>
    <row r="47" spans="2:7" x14ac:dyDescent="0.2">
      <c r="B47" s="100"/>
      <c r="C47" s="101" t="s">
        <v>354</v>
      </c>
      <c r="D47" s="100" t="s">
        <v>355</v>
      </c>
      <c r="E47" s="100"/>
      <c r="F47" s="100"/>
      <c r="G47" s="100"/>
    </row>
    <row r="48" spans="2:7" x14ac:dyDescent="0.2">
      <c r="B48" s="100"/>
      <c r="C48" s="100"/>
      <c r="D48" s="100"/>
      <c r="E48" s="100"/>
      <c r="F48" s="100"/>
      <c r="G48" s="100"/>
    </row>
    <row r="49" spans="2:7" x14ac:dyDescent="0.2">
      <c r="B49" s="100"/>
      <c r="C49" s="101" t="s">
        <v>356</v>
      </c>
      <c r="D49" s="100" t="s">
        <v>357</v>
      </c>
      <c r="E49" s="100"/>
      <c r="F49" s="100"/>
      <c r="G49" s="100"/>
    </row>
    <row r="50" spans="2:7" x14ac:dyDescent="0.2">
      <c r="B50" s="100"/>
      <c r="C50" s="100"/>
      <c r="D50" s="100"/>
      <c r="E50" s="100"/>
      <c r="F50" s="100"/>
      <c r="G50" s="100"/>
    </row>
    <row r="51" spans="2:7" x14ac:dyDescent="0.2">
      <c r="B51" s="100"/>
      <c r="C51" s="100"/>
      <c r="D51" s="100"/>
      <c r="E51" s="100"/>
      <c r="F51" s="100"/>
      <c r="G51" s="100"/>
    </row>
    <row r="52" spans="2:7" x14ac:dyDescent="0.2">
      <c r="B52" s="100"/>
      <c r="C52" s="100"/>
      <c r="D52" s="100"/>
      <c r="E52" s="100"/>
      <c r="F52" s="100"/>
      <c r="G52" s="100"/>
    </row>
    <row r="53" spans="2:7" x14ac:dyDescent="0.2">
      <c r="B53" s="100"/>
      <c r="C53" s="100"/>
      <c r="D53" s="100"/>
      <c r="E53" s="100"/>
      <c r="F53" s="100"/>
      <c r="G53" s="100"/>
    </row>
    <row r="54" spans="2:7" x14ac:dyDescent="0.2">
      <c r="B54" s="100"/>
      <c r="C54" s="100"/>
      <c r="D54" s="100"/>
      <c r="E54" s="100"/>
      <c r="F54" s="100"/>
      <c r="G54" s="100"/>
    </row>
    <row r="55" spans="2:7" x14ac:dyDescent="0.2">
      <c r="B55" s="100"/>
      <c r="C55" s="101" t="s">
        <v>358</v>
      </c>
      <c r="D55" s="100" t="s">
        <v>359</v>
      </c>
      <c r="E55" s="100"/>
      <c r="F55" s="100"/>
      <c r="G55" s="100"/>
    </row>
    <row r="56" spans="2:7" x14ac:dyDescent="0.2">
      <c r="B56" s="100"/>
      <c r="C56" s="100"/>
      <c r="D56" s="100"/>
      <c r="E56" s="100"/>
      <c r="F56" s="100"/>
      <c r="G56" s="100"/>
    </row>
    <row r="57" spans="2:7" x14ac:dyDescent="0.2">
      <c r="B57" s="100"/>
      <c r="C57" s="100"/>
      <c r="D57" s="100"/>
      <c r="E57" s="100"/>
      <c r="F57" s="100"/>
      <c r="G57" s="100"/>
    </row>
    <row r="58" spans="2:7" x14ac:dyDescent="0.2">
      <c r="B58" s="100"/>
      <c r="C58" s="100"/>
      <c r="D58" s="100"/>
      <c r="E58" s="100"/>
      <c r="F58" s="100"/>
      <c r="G58" s="100"/>
    </row>
    <row r="59" spans="2:7" x14ac:dyDescent="0.2">
      <c r="B59" s="100"/>
      <c r="C59" s="100"/>
      <c r="D59" s="100"/>
      <c r="E59" s="100"/>
      <c r="F59" s="100"/>
      <c r="G59" s="100"/>
    </row>
    <row r="60" spans="2:7" x14ac:dyDescent="0.2">
      <c r="B60" s="100"/>
      <c r="C60" s="100"/>
      <c r="D60" s="100"/>
      <c r="E60" s="100"/>
      <c r="F60" s="100"/>
      <c r="G60" s="100"/>
    </row>
    <row r="61" spans="2:7" x14ac:dyDescent="0.2">
      <c r="B61" s="100"/>
      <c r="C61" s="100"/>
      <c r="D61" s="99"/>
      <c r="E61" s="100"/>
      <c r="F61" s="100"/>
      <c r="G61" s="100"/>
    </row>
    <row r="62" spans="2:7" x14ac:dyDescent="0.2">
      <c r="B62" s="100"/>
      <c r="C62" s="100"/>
      <c r="E62" s="100"/>
      <c r="F62" s="100"/>
      <c r="G62" s="100"/>
    </row>
    <row r="63" spans="2:7" x14ac:dyDescent="0.2">
      <c r="B63" s="100"/>
      <c r="C63" s="100"/>
      <c r="D63" s="19"/>
      <c r="E63" s="100"/>
      <c r="F63" s="100"/>
      <c r="G63" s="100"/>
    </row>
    <row r="64" spans="2:7" x14ac:dyDescent="0.2">
      <c r="B64" s="100"/>
      <c r="C64" s="100"/>
      <c r="E64" s="100"/>
      <c r="F64" s="100"/>
      <c r="G64" s="100"/>
    </row>
    <row r="65" spans="2:7" x14ac:dyDescent="0.2">
      <c r="B65" s="100"/>
      <c r="C65" s="100"/>
      <c r="E65" s="100"/>
      <c r="F65" s="100"/>
      <c r="G65" s="100"/>
    </row>
    <row r="66" spans="2:7" x14ac:dyDescent="0.2">
      <c r="B66" s="100"/>
      <c r="C66" s="100"/>
      <c r="E66" s="100"/>
      <c r="F66" s="100"/>
      <c r="G66" s="100"/>
    </row>
  </sheetData>
  <conditionalFormatting sqref="D16">
    <cfRule type="iconSet" priority="1">
      <iconSet reverse="1">
        <cfvo type="percent" val="0"/>
        <cfvo type="num" val="1" gte="0"/>
        <cfvo type="num" val="2" gte="0"/>
      </iconSet>
    </cfRule>
  </conditionalFormatting>
  <hyperlinks>
    <hyperlink ref="A8" location="Dashboard!A1" display="Dashboard" xr:uid="{A275A646-5467-43B0-A3D4-13B2A08B0E93}"/>
    <hyperlink ref="A9" location="'COVID19 Tracker'!A1" display="COVID19 Tracker" xr:uid="{2E67F3BD-6E24-465C-89C6-FBEADB7F25B2}"/>
    <hyperlink ref="A10" location="'COVID19 Cases'!A1" display="COVID19 Cases" xr:uid="{EE8D1EEE-1810-41C4-B568-79BDEA0911A2}"/>
    <hyperlink ref="A11" location="Database!A1" display="Database" xr:uid="{17CF3562-5602-4E62-9439-C6A41CCE7CF9}"/>
  </hyperlinks>
  <pageMargins left="0.7" right="0.7" top="0.75" bottom="0.75" header="0.3" footer="0.3"/>
  <pageSetup paperSize="9" orientation="portrait" horizontalDpi="200" verticalDpi="200" r:id="rId1"/>
  <customProperties>
    <customPr name="EpmWorksheetKeyString_GUID" r:id="rId2"/>
  </customPropertie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6F659-9239-42DD-A4B5-67D90642FFFD}">
  <sheetPr codeName="Sheet2">
    <tabColor rgb="FF50B47F"/>
  </sheetPr>
  <dimension ref="A1:W49"/>
  <sheetViews>
    <sheetView showGridLines="0" showRowColHeaders="0" zoomScale="70" zoomScaleNormal="70" workbookViewId="0">
      <pane ySplit="1" topLeftCell="A2" activePane="bottomLeft" state="frozen"/>
      <selection pane="bottomLeft" sqref="A1:W1"/>
    </sheetView>
  </sheetViews>
  <sheetFormatPr defaultColWidth="0" defaultRowHeight="0" customHeight="1" zeroHeight="1" x14ac:dyDescent="0.2"/>
  <cols>
    <col min="1" max="1" width="8.7109375" style="75" customWidth="1"/>
    <col min="2" max="5" width="9.7109375" style="75" customWidth="1"/>
    <col min="6" max="6" width="13.140625" style="75" customWidth="1"/>
    <col min="7" max="9" width="9.7109375" style="75" customWidth="1"/>
    <col min="10" max="10" width="10.7109375" style="75" customWidth="1"/>
    <col min="11" max="11" width="16.5703125" style="75" customWidth="1"/>
    <col min="12" max="12" width="10.42578125" style="75" customWidth="1"/>
    <col min="13" max="13" width="18.140625" style="75" customWidth="1"/>
    <col min="14" max="14" width="9.7109375" style="75" customWidth="1"/>
    <col min="15" max="15" width="8.140625" style="75" customWidth="1"/>
    <col min="16" max="16" width="10.28515625" style="75" customWidth="1"/>
    <col min="17" max="17" width="9.85546875" style="75" customWidth="1"/>
    <col min="18" max="19" width="9.7109375" style="75" customWidth="1"/>
    <col min="20" max="21" width="9.85546875" style="75" customWidth="1"/>
    <col min="22" max="23" width="9.140625" style="75" customWidth="1"/>
    <col min="24" max="16384" width="9.140625" style="73" hidden="1"/>
  </cols>
  <sheetData>
    <row r="1" spans="1:23" ht="21" customHeight="1" x14ac:dyDescent="0.2">
      <c r="A1" s="106" t="s">
        <v>292</v>
      </c>
      <c r="B1" s="106"/>
      <c r="C1" s="106"/>
      <c r="D1" s="106"/>
      <c r="E1" s="106"/>
      <c r="F1" s="106"/>
      <c r="G1" s="106"/>
      <c r="H1" s="106"/>
      <c r="I1" s="106"/>
      <c r="J1" s="106"/>
      <c r="K1" s="106"/>
      <c r="L1" s="106"/>
      <c r="M1" s="106"/>
      <c r="N1" s="106"/>
      <c r="O1" s="106"/>
      <c r="P1" s="106"/>
      <c r="Q1" s="106"/>
      <c r="R1" s="106"/>
      <c r="S1" s="106"/>
      <c r="T1" s="106"/>
      <c r="U1" s="106"/>
      <c r="V1" s="106"/>
      <c r="W1" s="106"/>
    </row>
    <row r="2" spans="1:23" ht="22.5" customHeight="1" thickBot="1" x14ac:dyDescent="0.25">
      <c r="A2" s="107" t="s">
        <v>293</v>
      </c>
      <c r="B2" s="107"/>
      <c r="C2" s="107"/>
      <c r="D2" s="107"/>
      <c r="E2" s="107"/>
      <c r="F2" s="107"/>
      <c r="G2" s="107"/>
      <c r="H2" s="107"/>
      <c r="I2" s="107"/>
      <c r="J2" s="107"/>
      <c r="K2" s="107"/>
      <c r="L2" s="107"/>
      <c r="M2" s="107"/>
      <c r="N2" s="107"/>
      <c r="O2" s="107"/>
      <c r="P2" s="107"/>
      <c r="Q2" s="107"/>
      <c r="R2" s="107"/>
      <c r="S2" s="107"/>
      <c r="T2" s="107"/>
      <c r="U2" s="107"/>
      <c r="V2" s="107"/>
      <c r="W2" s="107"/>
    </row>
    <row r="3" spans="1:23" ht="12.75" customHeight="1" x14ac:dyDescent="0.2">
      <c r="A3" s="108" t="s">
        <v>294</v>
      </c>
      <c r="B3" s="108"/>
      <c r="C3" s="108"/>
      <c r="D3" s="109"/>
      <c r="E3" s="77"/>
      <c r="F3" s="77"/>
      <c r="G3" s="77"/>
      <c r="H3" s="77"/>
      <c r="I3" s="78"/>
      <c r="J3" s="78"/>
      <c r="K3" s="79"/>
      <c r="L3" s="80"/>
      <c r="M3" s="78"/>
      <c r="N3" s="81"/>
      <c r="O3" s="81"/>
      <c r="P3" s="82"/>
      <c r="Q3" s="82"/>
      <c r="R3" s="82"/>
      <c r="S3" s="81"/>
      <c r="T3" s="81"/>
      <c r="U3" s="83"/>
      <c r="V3" s="78"/>
      <c r="W3" s="78"/>
    </row>
    <row r="4" spans="1:23" ht="12.75" customHeight="1" x14ac:dyDescent="0.2">
      <c r="A4" s="110"/>
      <c r="B4" s="110"/>
      <c r="C4" s="110"/>
      <c r="D4" s="111"/>
      <c r="E4" s="77"/>
      <c r="F4" s="77"/>
      <c r="G4" s="77"/>
      <c r="H4" s="77"/>
      <c r="I4" s="78"/>
      <c r="J4" s="78"/>
      <c r="K4" s="79"/>
      <c r="L4" s="80"/>
      <c r="M4" s="78"/>
      <c r="N4" s="84"/>
      <c r="O4" s="84"/>
      <c r="P4" s="84"/>
      <c r="Q4" s="82"/>
      <c r="R4" s="82"/>
      <c r="S4" s="81"/>
      <c r="T4" s="81"/>
      <c r="U4" s="83"/>
      <c r="V4" s="78"/>
      <c r="W4" s="78"/>
    </row>
    <row r="5" spans="1:23" ht="12.75" customHeight="1" x14ac:dyDescent="0.2">
      <c r="A5" s="112">
        <f>SUM(Sheet1!B:B)</f>
        <v>93</v>
      </c>
      <c r="B5" s="112"/>
      <c r="C5" s="112"/>
      <c r="D5" s="113"/>
      <c r="E5" s="77"/>
      <c r="F5" s="77"/>
      <c r="G5" s="77"/>
      <c r="H5" s="77"/>
      <c r="I5" s="78"/>
      <c r="J5" s="78"/>
      <c r="K5" s="79"/>
      <c r="L5" s="85"/>
      <c r="M5" s="78"/>
      <c r="N5" s="81"/>
      <c r="O5" s="81"/>
      <c r="P5" s="82"/>
      <c r="Q5" s="82"/>
      <c r="R5" s="82"/>
      <c r="S5" s="81"/>
      <c r="T5" s="81"/>
      <c r="U5" s="83"/>
      <c r="V5" s="78"/>
      <c r="W5" s="78"/>
    </row>
    <row r="6" spans="1:23" ht="12.75" customHeight="1" x14ac:dyDescent="0.2">
      <c r="A6" s="112"/>
      <c r="B6" s="112"/>
      <c r="C6" s="112"/>
      <c r="D6" s="113"/>
      <c r="E6" s="77"/>
      <c r="F6" s="77"/>
      <c r="G6" s="77"/>
      <c r="H6" s="77"/>
      <c r="I6" s="78"/>
      <c r="J6" s="78"/>
      <c r="K6" s="78"/>
      <c r="L6" s="78"/>
      <c r="M6" s="78"/>
      <c r="N6" s="84"/>
      <c r="O6" s="84"/>
      <c r="P6" s="84"/>
      <c r="Q6" s="82"/>
      <c r="R6" s="82"/>
      <c r="S6" s="84"/>
      <c r="T6" s="84"/>
      <c r="U6" s="84"/>
      <c r="V6" s="78"/>
      <c r="W6" s="78"/>
    </row>
    <row r="7" spans="1:23" ht="12.75" customHeight="1" x14ac:dyDescent="0.2">
      <c r="A7" s="112"/>
      <c r="B7" s="112"/>
      <c r="C7" s="112"/>
      <c r="D7" s="113"/>
      <c r="E7" s="86"/>
      <c r="F7" s="86"/>
      <c r="G7" s="86"/>
      <c r="H7" s="86"/>
      <c r="I7" s="86"/>
      <c r="J7" s="86"/>
      <c r="K7" s="86"/>
      <c r="L7" s="86"/>
      <c r="M7" s="86"/>
      <c r="N7" s="86"/>
      <c r="O7" s="86"/>
      <c r="P7" s="86"/>
      <c r="Q7" s="86"/>
      <c r="R7" s="86"/>
      <c r="S7" s="86"/>
      <c r="T7" s="86"/>
      <c r="U7" s="86"/>
      <c r="V7" s="86"/>
      <c r="W7" s="86"/>
    </row>
    <row r="8" spans="1:23" ht="12.75" customHeight="1" x14ac:dyDescent="0.2">
      <c r="A8" s="112"/>
      <c r="B8" s="112"/>
      <c r="C8" s="112"/>
      <c r="D8" s="113"/>
      <c r="E8" s="86"/>
      <c r="F8" s="86"/>
      <c r="G8" s="86"/>
      <c r="H8" s="86"/>
      <c r="I8" s="86"/>
      <c r="J8" s="86"/>
      <c r="K8" s="86"/>
      <c r="L8" s="86"/>
      <c r="M8" s="86"/>
      <c r="N8" s="86"/>
      <c r="O8" s="86"/>
      <c r="P8" s="86"/>
      <c r="Q8" s="86"/>
      <c r="R8" s="86"/>
      <c r="S8" s="86"/>
      <c r="T8" s="86"/>
      <c r="U8" s="86"/>
      <c r="V8" s="86"/>
      <c r="W8" s="86"/>
    </row>
    <row r="9" spans="1:23" ht="12.75" customHeight="1" x14ac:dyDescent="0.2">
      <c r="A9" s="112"/>
      <c r="B9" s="112"/>
      <c r="C9" s="112"/>
      <c r="D9" s="113"/>
      <c r="E9" s="86"/>
      <c r="F9" s="86"/>
      <c r="G9" s="86"/>
      <c r="H9" s="86"/>
      <c r="I9" s="86"/>
      <c r="J9" s="86"/>
      <c r="K9" s="86"/>
      <c r="L9" s="86"/>
      <c r="M9" s="86"/>
      <c r="N9" s="86"/>
      <c r="O9" s="86"/>
      <c r="P9" s="86"/>
      <c r="Q9" s="86"/>
      <c r="R9" s="86"/>
      <c r="S9" s="86"/>
      <c r="T9" s="86"/>
      <c r="U9" s="86"/>
      <c r="V9" s="86"/>
      <c r="W9" s="86"/>
    </row>
    <row r="10" spans="1:23" ht="12.75" customHeight="1" x14ac:dyDescent="0.2">
      <c r="A10" s="112"/>
      <c r="B10" s="112"/>
      <c r="C10" s="112"/>
      <c r="D10" s="113"/>
      <c r="E10" s="86"/>
      <c r="F10" s="86"/>
      <c r="G10" s="86"/>
      <c r="H10" s="86"/>
      <c r="I10" s="86"/>
      <c r="J10" s="86"/>
      <c r="K10" s="86"/>
      <c r="L10" s="86"/>
      <c r="M10" s="86"/>
      <c r="N10" s="86"/>
      <c r="O10" s="86"/>
      <c r="P10" s="86"/>
      <c r="Q10" s="86"/>
      <c r="R10" s="86"/>
      <c r="S10" s="86"/>
      <c r="T10" s="86"/>
      <c r="U10" s="86"/>
      <c r="V10" s="86"/>
      <c r="W10" s="86"/>
    </row>
    <row r="11" spans="1:23" ht="13.15" customHeight="1" x14ac:dyDescent="0.2">
      <c r="A11" s="112"/>
      <c r="B11" s="112"/>
      <c r="C11" s="112"/>
      <c r="D11" s="113"/>
      <c r="E11" s="86"/>
      <c r="F11" s="86"/>
      <c r="G11" s="86"/>
      <c r="H11" s="86"/>
      <c r="I11" s="86"/>
      <c r="J11" s="86"/>
      <c r="K11" s="86"/>
      <c r="L11" s="86"/>
      <c r="M11" s="86"/>
      <c r="N11" s="86"/>
      <c r="O11" s="86"/>
      <c r="P11" s="86"/>
      <c r="Q11" s="86"/>
      <c r="R11" s="87"/>
      <c r="S11" s="86"/>
      <c r="T11" s="86"/>
      <c r="U11" s="86"/>
      <c r="V11" s="86"/>
      <c r="W11" s="86"/>
    </row>
    <row r="12" spans="1:23" ht="12.75" customHeight="1" thickBot="1" x14ac:dyDescent="0.25">
      <c r="A12" s="114"/>
      <c r="B12" s="114"/>
      <c r="C12" s="114"/>
      <c r="D12" s="115"/>
      <c r="E12" s="86"/>
      <c r="F12" s="86"/>
      <c r="G12" s="86"/>
      <c r="H12" s="86"/>
      <c r="I12" s="86"/>
      <c r="J12" s="86"/>
      <c r="K12" s="86"/>
      <c r="L12" s="86"/>
      <c r="M12" s="86"/>
      <c r="N12" s="86"/>
      <c r="O12" s="86"/>
      <c r="P12" s="86"/>
      <c r="Q12" s="86"/>
      <c r="R12" s="86"/>
      <c r="S12" s="86"/>
      <c r="T12" s="86"/>
      <c r="U12" s="86"/>
      <c r="V12" s="86"/>
      <c r="W12" s="86"/>
    </row>
    <row r="13" spans="1:23" ht="12.75" customHeight="1" x14ac:dyDescent="0.2">
      <c r="A13" s="86"/>
      <c r="B13" s="86"/>
      <c r="C13" s="86"/>
      <c r="D13" s="86"/>
      <c r="E13" s="86"/>
      <c r="F13" s="86"/>
      <c r="G13" s="86"/>
      <c r="H13" s="86"/>
      <c r="I13" s="86"/>
      <c r="J13" s="86"/>
      <c r="K13" s="86"/>
      <c r="L13" s="86"/>
      <c r="M13" s="86"/>
      <c r="N13" s="86"/>
      <c r="O13" s="86"/>
      <c r="P13" s="86"/>
      <c r="Q13" s="86"/>
      <c r="R13" s="86"/>
      <c r="S13" s="86"/>
      <c r="T13" s="86"/>
      <c r="U13" s="86"/>
      <c r="V13" s="86"/>
      <c r="W13" s="86"/>
    </row>
    <row r="14" spans="1:23" ht="12.75" customHeight="1" x14ac:dyDescent="0.2">
      <c r="A14" s="116" t="s">
        <v>296</v>
      </c>
      <c r="B14" s="116"/>
      <c r="C14" s="116"/>
      <c r="D14" s="117"/>
      <c r="E14" s="86"/>
      <c r="F14" s="86"/>
      <c r="G14" s="86"/>
      <c r="H14" s="86"/>
      <c r="I14" s="86"/>
      <c r="J14" s="86"/>
      <c r="K14" s="86"/>
      <c r="L14" s="86"/>
      <c r="M14" s="86"/>
      <c r="N14" s="86"/>
      <c r="O14" s="86"/>
      <c r="P14" s="86"/>
      <c r="Q14" s="86"/>
      <c r="R14" s="86"/>
      <c r="S14" s="86"/>
      <c r="T14" s="86"/>
      <c r="U14" s="86"/>
      <c r="V14" s="86"/>
      <c r="W14" s="86"/>
    </row>
    <row r="15" spans="1:23" ht="12.75" customHeight="1" x14ac:dyDescent="0.2">
      <c r="A15" s="116"/>
      <c r="B15" s="116"/>
      <c r="C15" s="116"/>
      <c r="D15" s="117"/>
      <c r="E15" s="86"/>
      <c r="F15" s="86"/>
      <c r="G15" s="86"/>
      <c r="H15" s="86"/>
      <c r="I15" s="86"/>
      <c r="J15" s="86"/>
      <c r="K15" s="86"/>
      <c r="L15" s="86"/>
      <c r="M15" s="86"/>
      <c r="N15" s="86"/>
      <c r="O15" s="86"/>
      <c r="P15" s="86"/>
      <c r="Q15" s="88"/>
      <c r="R15" s="88"/>
      <c r="S15" s="88"/>
      <c r="T15" s="88"/>
      <c r="U15" s="88"/>
      <c r="V15" s="88"/>
      <c r="W15" s="88"/>
    </row>
    <row r="16" spans="1:23" ht="12.75" customHeight="1" x14ac:dyDescent="0.2">
      <c r="A16" s="118">
        <f>IFERROR(SUM(Sheet1!J:J),"")</f>
        <v>41</v>
      </c>
      <c r="B16" s="118"/>
      <c r="C16" s="118"/>
      <c r="D16" s="119"/>
      <c r="E16" s="86"/>
      <c r="F16" s="86"/>
      <c r="G16" s="86"/>
      <c r="H16" s="86"/>
      <c r="I16" s="86"/>
      <c r="J16" s="86"/>
      <c r="K16" s="86"/>
      <c r="L16" s="86"/>
      <c r="M16" s="86"/>
      <c r="N16" s="86"/>
      <c r="O16" s="86"/>
      <c r="P16" s="86"/>
      <c r="Q16" s="88"/>
      <c r="R16" s="88"/>
      <c r="S16" s="88"/>
      <c r="T16" s="88"/>
      <c r="U16" s="88"/>
      <c r="V16" s="88"/>
      <c r="W16" s="88"/>
    </row>
    <row r="17" spans="1:23" ht="12.75" customHeight="1" x14ac:dyDescent="0.2">
      <c r="A17" s="118"/>
      <c r="B17" s="118"/>
      <c r="C17" s="118"/>
      <c r="D17" s="119"/>
      <c r="E17" s="86"/>
      <c r="F17" s="86"/>
      <c r="G17" s="86"/>
      <c r="H17" s="86"/>
      <c r="I17" s="86"/>
      <c r="J17" s="86"/>
      <c r="K17" s="86"/>
      <c r="L17" s="86"/>
      <c r="M17" s="86"/>
      <c r="N17" s="86"/>
      <c r="O17" s="86"/>
      <c r="P17" s="86"/>
      <c r="Q17" s="88"/>
      <c r="R17" s="89"/>
      <c r="S17" s="89"/>
      <c r="T17" s="89"/>
      <c r="U17" s="89"/>
      <c r="V17" s="89"/>
      <c r="W17" s="89"/>
    </row>
    <row r="18" spans="1:23" ht="12.75" customHeight="1" x14ac:dyDescent="0.2">
      <c r="A18" s="118"/>
      <c r="B18" s="118"/>
      <c r="C18" s="118"/>
      <c r="D18" s="119"/>
      <c r="E18" s="86"/>
      <c r="F18" s="86"/>
      <c r="G18" s="86"/>
      <c r="H18" s="86"/>
      <c r="I18" s="86"/>
      <c r="J18" s="86"/>
      <c r="K18" s="86"/>
      <c r="L18" s="86"/>
      <c r="M18" s="86"/>
      <c r="N18" s="86"/>
      <c r="O18" s="86"/>
      <c r="P18" s="86"/>
      <c r="Q18" s="86"/>
      <c r="R18" s="90"/>
      <c r="S18" s="90"/>
      <c r="T18" s="90"/>
      <c r="U18" s="90"/>
      <c r="V18" s="90"/>
      <c r="W18" s="90"/>
    </row>
    <row r="19" spans="1:23" ht="12.75" customHeight="1" x14ac:dyDescent="0.2">
      <c r="A19" s="118"/>
      <c r="B19" s="118"/>
      <c r="C19" s="118"/>
      <c r="D19" s="119"/>
      <c r="E19" s="86"/>
      <c r="F19" s="86"/>
      <c r="G19" s="86"/>
      <c r="H19" s="86"/>
      <c r="I19" s="86"/>
      <c r="J19" s="86"/>
      <c r="K19" s="86"/>
      <c r="L19" s="86"/>
      <c r="M19" s="86"/>
      <c r="N19" s="86"/>
      <c r="O19" s="86"/>
      <c r="P19" s="86"/>
      <c r="Q19" s="86"/>
      <c r="R19" s="90"/>
      <c r="S19" s="90"/>
      <c r="T19" s="90"/>
      <c r="U19" s="90"/>
      <c r="V19" s="90"/>
      <c r="W19" s="90"/>
    </row>
    <row r="20" spans="1:23" ht="12.75" customHeight="1" x14ac:dyDescent="0.2">
      <c r="A20" s="118"/>
      <c r="B20" s="118"/>
      <c r="C20" s="118"/>
      <c r="D20" s="119"/>
      <c r="E20" s="86"/>
      <c r="F20" s="86"/>
      <c r="G20" s="86"/>
      <c r="H20" s="86"/>
      <c r="I20" s="86"/>
      <c r="J20" s="86"/>
      <c r="K20" s="86"/>
      <c r="L20" s="86"/>
      <c r="M20" s="86"/>
      <c r="N20" s="86"/>
      <c r="O20" s="86"/>
      <c r="P20" s="86"/>
      <c r="Q20" s="86"/>
      <c r="R20" s="86"/>
      <c r="S20" s="86"/>
      <c r="T20" s="86"/>
      <c r="U20" s="86"/>
      <c r="V20" s="86"/>
      <c r="W20" s="86"/>
    </row>
    <row r="21" spans="1:23" ht="12.75" customHeight="1" x14ac:dyDescent="0.2">
      <c r="A21" s="118"/>
      <c r="B21" s="118"/>
      <c r="C21" s="118"/>
      <c r="D21" s="119"/>
      <c r="E21" s="86"/>
      <c r="F21" s="86"/>
      <c r="G21" s="86"/>
      <c r="H21" s="86"/>
      <c r="I21" s="86"/>
      <c r="J21" s="86"/>
      <c r="K21" s="86"/>
      <c r="L21" s="86"/>
      <c r="M21" s="86"/>
      <c r="N21" s="86"/>
      <c r="O21" s="86"/>
      <c r="P21" s="86"/>
      <c r="Q21" s="88"/>
      <c r="R21" s="88"/>
      <c r="S21" s="88"/>
      <c r="T21" s="88"/>
      <c r="U21" s="86"/>
      <c r="V21" s="86"/>
      <c r="W21" s="86"/>
    </row>
    <row r="22" spans="1:23" ht="13.15" customHeight="1" x14ac:dyDescent="0.2">
      <c r="A22" s="118"/>
      <c r="B22" s="118"/>
      <c r="C22" s="118"/>
      <c r="D22" s="119"/>
      <c r="E22" s="86"/>
      <c r="F22" s="86"/>
      <c r="G22" s="86"/>
      <c r="H22" s="86"/>
      <c r="I22" s="86"/>
      <c r="J22" s="86"/>
      <c r="K22" s="86"/>
      <c r="L22" s="86"/>
      <c r="M22" s="86"/>
      <c r="N22" s="86"/>
      <c r="O22" s="88"/>
      <c r="P22" s="88"/>
      <c r="Q22" s="86"/>
      <c r="R22" s="86"/>
      <c r="S22" s="86"/>
      <c r="T22" s="86"/>
      <c r="U22" s="86"/>
      <c r="V22" s="86"/>
      <c r="W22" s="86"/>
    </row>
    <row r="23" spans="1:23" ht="12.75" customHeight="1" thickBot="1" x14ac:dyDescent="0.25">
      <c r="A23" s="120"/>
      <c r="B23" s="120"/>
      <c r="C23" s="120"/>
      <c r="D23" s="121"/>
      <c r="E23" s="86"/>
      <c r="F23" s="86"/>
      <c r="G23" s="86"/>
      <c r="H23" s="86"/>
      <c r="I23" s="86"/>
      <c r="J23" s="86"/>
      <c r="K23" s="86"/>
      <c r="L23" s="86"/>
      <c r="M23" s="86"/>
      <c r="N23" s="86"/>
      <c r="O23" s="86"/>
      <c r="P23" s="86"/>
      <c r="Q23" s="86"/>
      <c r="R23" s="86"/>
      <c r="S23" s="86"/>
      <c r="T23" s="86"/>
      <c r="U23" s="86"/>
      <c r="V23" s="86"/>
      <c r="W23" s="86"/>
    </row>
    <row r="24" spans="1:23" ht="12.75" customHeight="1" x14ac:dyDescent="0.2">
      <c r="A24" s="86"/>
      <c r="B24" s="86"/>
      <c r="C24" s="86"/>
      <c r="D24" s="86"/>
      <c r="E24" s="86"/>
      <c r="F24" s="86"/>
      <c r="G24" s="86"/>
      <c r="H24" s="86"/>
      <c r="I24" s="86"/>
      <c r="J24" s="86"/>
      <c r="K24" s="86"/>
      <c r="L24" s="86"/>
      <c r="M24" s="86"/>
      <c r="N24" s="86"/>
      <c r="O24" s="86"/>
      <c r="P24" s="86"/>
      <c r="Q24" s="86"/>
      <c r="R24" s="86"/>
      <c r="S24" s="86"/>
      <c r="T24" s="86"/>
      <c r="U24" s="86"/>
      <c r="V24" s="86"/>
      <c r="W24" s="86"/>
    </row>
    <row r="25" spans="1:23" ht="12.75" customHeight="1" x14ac:dyDescent="0.2">
      <c r="A25" s="122" t="s">
        <v>290</v>
      </c>
      <c r="B25" s="122"/>
      <c r="C25" s="122"/>
      <c r="D25" s="123"/>
      <c r="E25" s="86"/>
      <c r="F25" s="86"/>
      <c r="G25" s="86"/>
      <c r="H25" s="86"/>
      <c r="I25" s="86"/>
      <c r="J25" s="86"/>
      <c r="K25" s="86"/>
      <c r="L25" s="86"/>
      <c r="M25" s="86"/>
      <c r="N25" s="86"/>
      <c r="O25" s="86"/>
      <c r="P25" s="86"/>
      <c r="Q25" s="86"/>
      <c r="R25" s="86"/>
      <c r="S25" s="86"/>
      <c r="T25" s="86"/>
      <c r="U25" s="86"/>
      <c r="V25" s="86"/>
      <c r="W25" s="86"/>
    </row>
    <row r="26" spans="1:23" ht="12.75" customHeight="1" x14ac:dyDescent="0.2">
      <c r="A26" s="122"/>
      <c r="B26" s="122"/>
      <c r="C26" s="122"/>
      <c r="D26" s="123"/>
      <c r="E26" s="86"/>
      <c r="F26" s="86"/>
      <c r="G26" s="86"/>
      <c r="H26" s="86"/>
      <c r="I26" s="86"/>
      <c r="J26" s="86"/>
      <c r="K26" s="86"/>
      <c r="L26" s="86"/>
      <c r="M26" s="86"/>
      <c r="N26" s="86"/>
      <c r="O26" s="86"/>
      <c r="P26" s="86"/>
      <c r="Q26" s="86"/>
      <c r="R26" s="86"/>
      <c r="S26" s="86"/>
      <c r="T26" s="86"/>
      <c r="U26" s="86"/>
      <c r="V26" s="86"/>
      <c r="W26" s="86"/>
    </row>
    <row r="27" spans="1:23" ht="12.75" customHeight="1" x14ac:dyDescent="0.2">
      <c r="A27" s="124">
        <f>IFERROR(SUM(Sheet1!K:K),"")</f>
        <v>38</v>
      </c>
      <c r="B27" s="124"/>
      <c r="C27" s="124"/>
      <c r="D27" s="125"/>
      <c r="E27" s="86"/>
      <c r="F27" s="86"/>
      <c r="G27" s="86"/>
      <c r="H27" s="86"/>
      <c r="I27" s="86"/>
      <c r="J27" s="86"/>
      <c r="K27" s="86"/>
      <c r="L27" s="86"/>
      <c r="M27" s="86"/>
      <c r="N27" s="86"/>
      <c r="O27" s="86"/>
      <c r="P27" s="86"/>
      <c r="Q27" s="86"/>
      <c r="R27" s="86"/>
      <c r="S27" s="86"/>
      <c r="T27" s="86"/>
      <c r="U27" s="86"/>
      <c r="V27" s="86"/>
      <c r="W27" s="86"/>
    </row>
    <row r="28" spans="1:23" ht="12.75" customHeight="1" x14ac:dyDescent="0.2">
      <c r="A28" s="124"/>
      <c r="B28" s="124"/>
      <c r="C28" s="124"/>
      <c r="D28" s="125"/>
      <c r="E28" s="86"/>
      <c r="F28" s="86"/>
      <c r="G28" s="86"/>
      <c r="H28" s="86"/>
      <c r="I28" s="86"/>
      <c r="J28" s="86"/>
      <c r="K28" s="86"/>
      <c r="L28" s="86"/>
      <c r="M28" s="86"/>
      <c r="N28" s="86"/>
      <c r="O28" s="86"/>
      <c r="P28" s="86"/>
      <c r="Q28" s="86"/>
      <c r="R28" s="86"/>
      <c r="S28" s="86"/>
      <c r="T28" s="86"/>
      <c r="U28" s="86"/>
      <c r="V28" s="86"/>
      <c r="W28" s="86"/>
    </row>
    <row r="29" spans="1:23" ht="12.75" customHeight="1" x14ac:dyDescent="0.2">
      <c r="A29" s="124"/>
      <c r="B29" s="124"/>
      <c r="C29" s="124"/>
      <c r="D29" s="125"/>
      <c r="E29" s="86"/>
      <c r="F29" s="129"/>
      <c r="G29" s="129"/>
      <c r="H29" s="129"/>
      <c r="I29" s="129"/>
      <c r="J29" s="86"/>
      <c r="K29" s="129"/>
      <c r="L29" s="129"/>
      <c r="M29" s="129"/>
      <c r="N29" s="86"/>
      <c r="O29" s="129"/>
      <c r="P29" s="129"/>
      <c r="Q29" s="129"/>
      <c r="R29" s="86"/>
      <c r="S29" s="86"/>
      <c r="T29" s="86"/>
      <c r="U29" s="86"/>
      <c r="V29" s="86"/>
      <c r="W29" s="86"/>
    </row>
    <row r="30" spans="1:23" ht="12.75" customHeight="1" x14ac:dyDescent="0.2">
      <c r="A30" s="124"/>
      <c r="B30" s="124"/>
      <c r="C30" s="124"/>
      <c r="D30" s="125"/>
      <c r="E30" s="86"/>
      <c r="F30" s="86"/>
      <c r="G30" s="86"/>
      <c r="H30" s="86"/>
      <c r="I30" s="86"/>
      <c r="J30" s="86"/>
      <c r="K30" s="86"/>
      <c r="L30" s="86"/>
      <c r="M30" s="86"/>
      <c r="N30" s="86"/>
      <c r="O30" s="86"/>
      <c r="P30" s="86"/>
      <c r="Q30" s="86"/>
      <c r="R30" s="86"/>
      <c r="S30" s="86"/>
      <c r="T30" s="86"/>
      <c r="U30" s="86"/>
      <c r="V30" s="86"/>
      <c r="W30" s="86"/>
    </row>
    <row r="31" spans="1:23" ht="12.75" customHeight="1" x14ac:dyDescent="0.2">
      <c r="A31" s="124"/>
      <c r="B31" s="124"/>
      <c r="C31" s="124"/>
      <c r="D31" s="125"/>
      <c r="E31" s="86"/>
      <c r="F31" s="86"/>
      <c r="G31" s="86"/>
      <c r="H31" s="86"/>
      <c r="I31" s="86"/>
      <c r="J31" s="86"/>
      <c r="K31" s="86"/>
      <c r="L31" s="86"/>
      <c r="M31" s="86"/>
      <c r="N31" s="86"/>
      <c r="O31" s="86"/>
      <c r="P31" s="86"/>
      <c r="Q31" s="86"/>
      <c r="R31" s="86"/>
      <c r="S31" s="128"/>
      <c r="T31" s="128"/>
      <c r="U31" s="128"/>
      <c r="V31" s="128"/>
      <c r="W31" s="128"/>
    </row>
    <row r="32" spans="1:23" ht="12.75" customHeight="1" x14ac:dyDescent="0.2">
      <c r="A32" s="124"/>
      <c r="B32" s="124"/>
      <c r="C32" s="124"/>
      <c r="D32" s="125"/>
      <c r="E32" s="86"/>
      <c r="F32" s="86"/>
      <c r="G32" s="86"/>
      <c r="H32" s="86"/>
      <c r="I32" s="86"/>
      <c r="J32" s="86"/>
      <c r="K32" s="86"/>
      <c r="L32" s="86"/>
      <c r="M32" s="86"/>
      <c r="N32" s="86"/>
      <c r="O32" s="86"/>
      <c r="P32" s="86"/>
      <c r="Q32" s="86"/>
      <c r="R32" s="86"/>
      <c r="S32" s="86"/>
      <c r="T32" s="86"/>
      <c r="U32" s="86"/>
      <c r="V32" s="86"/>
      <c r="W32" s="86"/>
    </row>
    <row r="33" spans="1:23" ht="12.75" customHeight="1" x14ac:dyDescent="0.2">
      <c r="A33" s="124"/>
      <c r="B33" s="124"/>
      <c r="C33" s="124"/>
      <c r="D33" s="125"/>
      <c r="E33" s="86"/>
      <c r="F33" s="86"/>
      <c r="G33" s="86"/>
      <c r="H33" s="86"/>
      <c r="I33" s="86"/>
      <c r="J33" s="86"/>
      <c r="K33" s="86"/>
      <c r="L33" s="86"/>
      <c r="M33" s="86"/>
      <c r="N33" s="86"/>
      <c r="O33" s="86"/>
      <c r="P33" s="86"/>
      <c r="Q33" s="86"/>
      <c r="R33" s="86"/>
      <c r="S33" s="86"/>
      <c r="T33" s="86"/>
      <c r="U33" s="86"/>
      <c r="V33" s="86"/>
      <c r="W33" s="86"/>
    </row>
    <row r="34" spans="1:23" ht="12.75" customHeight="1" thickBot="1" x14ac:dyDescent="0.25">
      <c r="A34" s="126"/>
      <c r="B34" s="126"/>
      <c r="C34" s="126"/>
      <c r="D34" s="127"/>
      <c r="E34" s="86"/>
      <c r="F34" s="86"/>
      <c r="G34" s="86"/>
      <c r="H34" s="86"/>
      <c r="I34" s="86"/>
      <c r="J34" s="86"/>
      <c r="K34" s="86"/>
      <c r="L34" s="86"/>
      <c r="M34" s="86"/>
      <c r="N34" s="86"/>
      <c r="O34" s="86"/>
      <c r="P34" s="86"/>
      <c r="Q34" s="86"/>
      <c r="R34" s="86"/>
      <c r="S34" s="86"/>
      <c r="T34" s="86"/>
      <c r="U34" s="86"/>
      <c r="V34" s="86"/>
      <c r="W34" s="86"/>
    </row>
    <row r="35" spans="1:23" ht="12.75" customHeight="1" thickBot="1" x14ac:dyDescent="0.25">
      <c r="A35" s="86"/>
      <c r="B35" s="86"/>
      <c r="C35" s="86"/>
      <c r="D35" s="86"/>
      <c r="E35" s="86"/>
      <c r="F35" s="86"/>
      <c r="G35" s="86"/>
      <c r="H35" s="86"/>
      <c r="I35" s="86"/>
      <c r="J35" s="86"/>
      <c r="K35" s="86"/>
      <c r="L35" s="86"/>
      <c r="M35" s="86"/>
      <c r="N35" s="86"/>
      <c r="O35" s="86"/>
      <c r="P35" s="86"/>
      <c r="Q35" s="86"/>
      <c r="R35" s="86"/>
      <c r="S35" s="86"/>
      <c r="T35" s="86"/>
      <c r="U35" s="86"/>
      <c r="V35" s="86"/>
      <c r="W35" s="86"/>
    </row>
    <row r="36" spans="1:23" ht="12.75" customHeight="1" x14ac:dyDescent="0.2">
      <c r="A36" s="108" t="s">
        <v>295</v>
      </c>
      <c r="B36" s="108"/>
      <c r="C36" s="108"/>
      <c r="D36" s="109"/>
      <c r="E36" s="86"/>
      <c r="F36" s="86"/>
      <c r="G36" s="86"/>
      <c r="H36" s="86"/>
      <c r="I36" s="86"/>
      <c r="J36" s="86"/>
      <c r="K36" s="86"/>
      <c r="L36" s="86"/>
      <c r="M36" s="86"/>
      <c r="N36" s="86"/>
      <c r="O36" s="86"/>
      <c r="P36" s="86"/>
      <c r="Q36" s="86"/>
      <c r="R36" s="86"/>
      <c r="S36" s="86"/>
      <c r="T36" s="86"/>
      <c r="U36" s="86"/>
      <c r="V36" s="86"/>
      <c r="W36" s="86"/>
    </row>
    <row r="37" spans="1:23" ht="12.75" customHeight="1" x14ac:dyDescent="0.2">
      <c r="A37" s="110"/>
      <c r="B37" s="110"/>
      <c r="C37" s="110"/>
      <c r="D37" s="111"/>
      <c r="E37" s="86"/>
      <c r="F37" s="86"/>
      <c r="G37" s="86"/>
      <c r="H37" s="86"/>
      <c r="I37" s="86"/>
      <c r="J37" s="86"/>
      <c r="K37" s="86"/>
      <c r="L37" s="86"/>
      <c r="M37" s="86"/>
      <c r="N37" s="86"/>
      <c r="O37" s="86"/>
      <c r="P37" s="86"/>
      <c r="Q37" s="86"/>
      <c r="R37" s="86"/>
      <c r="S37" s="86"/>
      <c r="T37" s="86"/>
      <c r="U37" s="86"/>
      <c r="V37" s="86"/>
      <c r="W37" s="86"/>
    </row>
    <row r="38" spans="1:23" ht="12.75" customHeight="1" x14ac:dyDescent="0.2">
      <c r="A38" s="102">
        <f>IFERROR(GETPIVOTDATA("Employee Name",Sheet1!$D$3,"Wearing Mask","Yes"),"")</f>
        <v>0.87817258883248728</v>
      </c>
      <c r="B38" s="102"/>
      <c r="C38" s="102"/>
      <c r="D38" s="103"/>
      <c r="E38" s="86"/>
      <c r="F38" s="86"/>
      <c r="G38" s="86"/>
      <c r="H38" s="86"/>
      <c r="I38" s="86"/>
      <c r="J38" s="86"/>
      <c r="K38" s="86"/>
      <c r="L38" s="86"/>
      <c r="M38" s="86"/>
      <c r="N38" s="86"/>
      <c r="O38" s="86"/>
      <c r="P38" s="86"/>
      <c r="Q38" s="86"/>
      <c r="R38" s="86"/>
      <c r="S38" s="86"/>
      <c r="T38" s="86"/>
      <c r="U38" s="86"/>
      <c r="V38" s="86"/>
      <c r="W38" s="86"/>
    </row>
    <row r="39" spans="1:23" ht="12.75" customHeight="1" x14ac:dyDescent="0.2">
      <c r="A39" s="102"/>
      <c r="B39" s="102"/>
      <c r="C39" s="102"/>
      <c r="D39" s="103"/>
      <c r="E39" s="86"/>
      <c r="F39" s="86"/>
      <c r="G39" s="86"/>
      <c r="H39" s="86"/>
      <c r="I39" s="86"/>
      <c r="J39" s="86"/>
      <c r="K39" s="86"/>
      <c r="L39" s="86"/>
      <c r="M39" s="86"/>
      <c r="N39" s="86"/>
      <c r="O39" s="86"/>
      <c r="P39" s="86"/>
      <c r="Q39" s="86"/>
      <c r="R39" s="86"/>
      <c r="S39" s="86"/>
      <c r="T39" s="86"/>
      <c r="U39" s="86"/>
      <c r="V39" s="86"/>
      <c r="W39" s="86"/>
    </row>
    <row r="40" spans="1:23" ht="12.75" customHeight="1" x14ac:dyDescent="0.2">
      <c r="A40" s="102"/>
      <c r="B40" s="102"/>
      <c r="C40" s="102"/>
      <c r="D40" s="103"/>
      <c r="E40" s="86"/>
      <c r="F40" s="86"/>
      <c r="G40" s="86"/>
      <c r="H40" s="86"/>
      <c r="I40" s="86"/>
      <c r="J40" s="86"/>
      <c r="K40" s="86"/>
      <c r="L40" s="86"/>
      <c r="M40" s="86"/>
      <c r="N40" s="86"/>
      <c r="O40" s="86"/>
      <c r="P40" s="86"/>
      <c r="Q40" s="86"/>
      <c r="R40" s="86"/>
      <c r="S40" s="86"/>
      <c r="T40" s="86"/>
      <c r="U40" s="86"/>
      <c r="V40" s="86"/>
      <c r="W40" s="86"/>
    </row>
    <row r="41" spans="1:23" ht="12.75" customHeight="1" x14ac:dyDescent="0.2">
      <c r="A41" s="102"/>
      <c r="B41" s="102"/>
      <c r="C41" s="102"/>
      <c r="D41" s="103"/>
      <c r="E41" s="86"/>
      <c r="F41" s="86"/>
      <c r="G41" s="86"/>
      <c r="H41" s="86"/>
      <c r="I41" s="86"/>
      <c r="J41" s="86"/>
      <c r="K41" s="86"/>
      <c r="L41" s="86"/>
      <c r="M41" s="86"/>
      <c r="N41" s="86"/>
      <c r="O41" s="86"/>
      <c r="P41" s="86"/>
      <c r="Q41" s="86"/>
      <c r="R41" s="86"/>
      <c r="S41" s="86"/>
      <c r="T41" s="86"/>
      <c r="U41" s="86"/>
      <c r="V41" s="86"/>
      <c r="W41" s="86"/>
    </row>
    <row r="42" spans="1:23" ht="12.75" customHeight="1" x14ac:dyDescent="0.2">
      <c r="A42" s="102"/>
      <c r="B42" s="102"/>
      <c r="C42" s="102"/>
      <c r="D42" s="103"/>
      <c r="E42" s="86"/>
      <c r="F42" s="86"/>
      <c r="G42" s="86"/>
      <c r="H42" s="86"/>
      <c r="I42" s="86"/>
      <c r="J42" s="86"/>
      <c r="K42" s="86"/>
      <c r="L42" s="86"/>
      <c r="M42" s="86"/>
      <c r="N42" s="86"/>
      <c r="O42" s="86"/>
      <c r="P42" s="86"/>
      <c r="Q42" s="86"/>
      <c r="R42" s="86"/>
      <c r="S42" s="86"/>
      <c r="T42" s="86"/>
      <c r="U42" s="86"/>
      <c r="V42" s="86"/>
      <c r="W42" s="86"/>
    </row>
    <row r="43" spans="1:23" ht="12.75" customHeight="1" x14ac:dyDescent="0.2">
      <c r="A43" s="102"/>
      <c r="B43" s="102"/>
      <c r="C43" s="102"/>
      <c r="D43" s="103"/>
      <c r="E43" s="86"/>
      <c r="F43" s="86"/>
      <c r="G43" s="86"/>
      <c r="H43" s="86"/>
      <c r="I43" s="86"/>
      <c r="J43" s="86"/>
      <c r="K43" s="86"/>
      <c r="L43" s="86"/>
      <c r="M43" s="86"/>
      <c r="N43" s="86"/>
      <c r="O43" s="86"/>
      <c r="P43" s="86"/>
      <c r="Q43" s="86"/>
      <c r="R43" s="86"/>
      <c r="S43" s="86"/>
      <c r="T43" s="86"/>
      <c r="U43" s="86"/>
      <c r="V43" s="86"/>
      <c r="W43" s="86"/>
    </row>
    <row r="44" spans="1:23" ht="12.75" customHeight="1" x14ac:dyDescent="0.2">
      <c r="A44" s="102"/>
      <c r="B44" s="102"/>
      <c r="C44" s="102"/>
      <c r="D44" s="103"/>
      <c r="E44" s="86"/>
      <c r="F44" s="86"/>
      <c r="G44" s="86"/>
      <c r="H44" s="86"/>
      <c r="I44" s="86"/>
      <c r="J44" s="86"/>
      <c r="K44" s="86"/>
      <c r="L44" s="86"/>
      <c r="M44" s="86"/>
      <c r="N44" s="86"/>
      <c r="O44" s="86"/>
      <c r="P44" s="86"/>
      <c r="Q44" s="86"/>
      <c r="R44" s="86"/>
      <c r="S44" s="86"/>
      <c r="T44" s="86"/>
      <c r="U44" s="86"/>
      <c r="V44" s="86"/>
      <c r="W44" s="86"/>
    </row>
    <row r="45" spans="1:23" ht="12.75" customHeight="1" thickBot="1" x14ac:dyDescent="0.25">
      <c r="A45" s="104"/>
      <c r="B45" s="104"/>
      <c r="C45" s="104"/>
      <c r="D45" s="105"/>
      <c r="E45" s="86"/>
      <c r="F45" s="86"/>
      <c r="G45" s="86"/>
      <c r="H45" s="86"/>
      <c r="I45" s="86"/>
      <c r="J45" s="86"/>
      <c r="K45" s="86"/>
      <c r="L45" s="86"/>
      <c r="M45" s="86"/>
      <c r="N45" s="86"/>
      <c r="O45" s="86"/>
      <c r="P45" s="86"/>
      <c r="Q45" s="86"/>
      <c r="R45" s="86"/>
      <c r="S45" s="86"/>
      <c r="T45" s="86"/>
      <c r="U45" s="86"/>
      <c r="V45" s="86"/>
      <c r="W45" s="86"/>
    </row>
    <row r="46" spans="1:23" ht="12.75" customHeight="1" x14ac:dyDescent="0.2">
      <c r="A46" s="86"/>
      <c r="B46" s="86"/>
      <c r="C46" s="86"/>
      <c r="D46" s="86"/>
      <c r="E46" s="86"/>
      <c r="F46" s="86"/>
      <c r="G46" s="86"/>
      <c r="H46" s="86"/>
      <c r="I46" s="86"/>
      <c r="J46" s="86"/>
      <c r="K46" s="86"/>
      <c r="L46" s="86"/>
      <c r="M46" s="86"/>
      <c r="N46" s="86"/>
      <c r="O46" s="86"/>
      <c r="P46" s="86"/>
      <c r="Q46" s="86"/>
      <c r="R46" s="86"/>
      <c r="S46" s="86"/>
      <c r="T46" s="86"/>
      <c r="U46" s="86"/>
      <c r="V46" s="86"/>
      <c r="W46" s="86"/>
    </row>
    <row r="47" spans="1:23" ht="12.75" hidden="1" customHeight="1" x14ac:dyDescent="0.2">
      <c r="A47" s="74"/>
      <c r="B47" s="74"/>
      <c r="C47" s="74"/>
      <c r="D47" s="74"/>
      <c r="E47" s="74"/>
      <c r="F47" s="74"/>
      <c r="G47" s="74"/>
      <c r="H47" s="74"/>
      <c r="I47" s="74"/>
      <c r="J47" s="74"/>
      <c r="K47" s="74"/>
      <c r="L47" s="74"/>
      <c r="M47" s="74"/>
      <c r="N47" s="74"/>
      <c r="O47" s="74"/>
      <c r="P47" s="74"/>
      <c r="Q47" s="74"/>
      <c r="R47" s="74"/>
      <c r="S47" s="74"/>
      <c r="T47" s="74"/>
      <c r="U47" s="74"/>
      <c r="V47" s="74"/>
      <c r="W47" s="74"/>
    </row>
    <row r="48" spans="1:23" ht="12.75" hidden="1" customHeight="1" x14ac:dyDescent="0.2">
      <c r="A48" s="74"/>
      <c r="B48" s="74"/>
      <c r="C48" s="74"/>
      <c r="D48" s="74"/>
      <c r="E48" s="74"/>
      <c r="F48" s="74"/>
      <c r="G48" s="74"/>
      <c r="H48" s="74"/>
      <c r="I48" s="74"/>
      <c r="J48" s="74"/>
      <c r="K48" s="74"/>
      <c r="L48" s="74"/>
      <c r="M48" s="74"/>
      <c r="N48" s="74"/>
      <c r="O48" s="74"/>
      <c r="P48" s="74"/>
      <c r="Q48" s="74"/>
      <c r="R48" s="74"/>
      <c r="S48" s="74"/>
      <c r="T48" s="74"/>
      <c r="U48" s="74"/>
      <c r="V48" s="74"/>
      <c r="W48" s="74"/>
    </row>
    <row r="49" spans="1:23" ht="12.75" hidden="1" customHeight="1" x14ac:dyDescent="0.2">
      <c r="A49" s="74"/>
      <c r="B49" s="74"/>
      <c r="C49" s="74"/>
      <c r="D49" s="74"/>
      <c r="E49" s="74"/>
      <c r="F49" s="74"/>
      <c r="G49" s="74"/>
      <c r="H49" s="74"/>
      <c r="I49" s="74"/>
      <c r="J49" s="74"/>
      <c r="K49" s="74"/>
      <c r="L49" s="74"/>
      <c r="M49" s="74"/>
      <c r="N49" s="74"/>
      <c r="O49" s="74"/>
      <c r="P49" s="74"/>
      <c r="Q49" s="74"/>
      <c r="R49" s="74"/>
      <c r="S49" s="74"/>
      <c r="T49" s="74"/>
      <c r="U49" s="74"/>
      <c r="V49" s="74"/>
      <c r="W49" s="74"/>
    </row>
  </sheetData>
  <sheetProtection selectLockedCells="1" selectUnlockedCells="1"/>
  <mergeCells count="14">
    <mergeCell ref="A38:D45"/>
    <mergeCell ref="A1:W1"/>
    <mergeCell ref="A2:W2"/>
    <mergeCell ref="A3:D4"/>
    <mergeCell ref="A5:D12"/>
    <mergeCell ref="A14:D15"/>
    <mergeCell ref="A16:D23"/>
    <mergeCell ref="A25:D26"/>
    <mergeCell ref="A27:D34"/>
    <mergeCell ref="A36:D37"/>
    <mergeCell ref="S31:W31"/>
    <mergeCell ref="F29:I29"/>
    <mergeCell ref="K29:M29"/>
    <mergeCell ref="O29:Q2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efresh">
                <anchor moveWithCells="1" sizeWithCells="1">
                  <from>
                    <xdr:col>2</xdr:col>
                    <xdr:colOff>57150</xdr:colOff>
                    <xdr:row>0</xdr:row>
                    <xdr:rowOff>19050</xdr:rowOff>
                  </from>
                  <to>
                    <xdr:col>4</xdr:col>
                    <xdr:colOff>0</xdr:colOff>
                    <xdr:row>1</xdr:row>
                    <xdr:rowOff>19050</xdr:rowOff>
                  </to>
                </anchor>
              </controlPr>
            </control>
          </mc:Choice>
        </mc:AlternateContent>
        <mc:AlternateContent xmlns:mc="http://schemas.openxmlformats.org/markup-compatibility/2006">
          <mc:Choice Requires="x14">
            <control shapeId="6146" r:id="rId5" name="Button 2">
              <controlPr defaultSize="0" print="0" autoFill="0" autoPict="0" macro="[0]!Full_screen">
                <anchor moveWithCells="1" sizeWithCells="1">
                  <from>
                    <xdr:col>0</xdr:col>
                    <xdr:colOff>0</xdr:colOff>
                    <xdr:row>0</xdr:row>
                    <xdr:rowOff>19050</xdr:rowOff>
                  </from>
                  <to>
                    <xdr:col>2</xdr:col>
                    <xdr:colOff>19050</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B517C-7AF9-488A-965A-7C95E5374A88}">
  <sheetPr>
    <tabColor rgb="FF50B47F"/>
  </sheetPr>
  <dimension ref="A3:AP2030"/>
  <sheetViews>
    <sheetView topLeftCell="AJ1" workbookViewId="0">
      <selection activeCell="AO7" sqref="AO7"/>
    </sheetView>
  </sheetViews>
  <sheetFormatPr defaultRowHeight="12.75" x14ac:dyDescent="0.2"/>
  <cols>
    <col min="1" max="1" width="13.85546875" bestFit="1" customWidth="1"/>
    <col min="2" max="2" width="13.85546875" customWidth="1"/>
    <col min="3" max="3" width="24.42578125" bestFit="1" customWidth="1"/>
    <col min="4" max="4" width="13.85546875" bestFit="1" customWidth="1"/>
    <col min="5" max="5" width="24.42578125" bestFit="1" customWidth="1"/>
    <col min="8" max="8" width="13.85546875" bestFit="1" customWidth="1"/>
    <col min="9" max="9" width="9" customWidth="1"/>
    <col min="14" max="14" width="13.85546875" bestFit="1" customWidth="1"/>
    <col min="15" max="15" width="16.7109375" bestFit="1" customWidth="1"/>
    <col min="16" max="16" width="22.7109375" bestFit="1" customWidth="1"/>
    <col min="17" max="17" width="10.85546875" bestFit="1" customWidth="1"/>
    <col min="18" max="18" width="11.7109375" bestFit="1" customWidth="1"/>
    <col min="19" max="19" width="20.140625" bestFit="1" customWidth="1"/>
    <col min="20" max="20" width="17" bestFit="1" customWidth="1"/>
    <col min="21" max="21" width="7.140625" bestFit="1" customWidth="1"/>
    <col min="22" max="22" width="11.7109375" bestFit="1" customWidth="1"/>
    <col min="24" max="24" width="13.85546875" bestFit="1" customWidth="1"/>
    <col min="25" max="25" width="20" bestFit="1" customWidth="1"/>
    <col min="26" max="26" width="11.7109375" bestFit="1" customWidth="1"/>
    <col min="27" max="27" width="22.28515625" bestFit="1" customWidth="1"/>
    <col min="28" max="28" width="17" bestFit="1" customWidth="1"/>
    <col min="29" max="29" width="10.42578125" bestFit="1" customWidth="1"/>
    <col min="30" max="31" width="11.7109375" bestFit="1" customWidth="1"/>
    <col min="32" max="32" width="13.85546875" bestFit="1" customWidth="1"/>
    <col min="33" max="33" width="22.28515625" bestFit="1" customWidth="1"/>
    <col min="35" max="35" width="13.85546875" bestFit="1" customWidth="1"/>
    <col min="36" max="36" width="22.28515625" bestFit="1" customWidth="1"/>
    <col min="38" max="38" width="13.85546875" bestFit="1" customWidth="1"/>
    <col min="39" max="39" width="22.28515625" bestFit="1" customWidth="1"/>
    <col min="41" max="41" width="13.85546875" bestFit="1" customWidth="1"/>
    <col min="42" max="42" width="24.140625" bestFit="1" customWidth="1"/>
    <col min="43" max="43" width="8.28515625" bestFit="1" customWidth="1"/>
    <col min="44" max="44" width="3.5703125" bestFit="1" customWidth="1"/>
    <col min="45" max="45" width="9.140625" bestFit="1" customWidth="1"/>
    <col min="46" max="46" width="10.85546875" bestFit="1" customWidth="1"/>
    <col min="47" max="47" width="11.140625" bestFit="1" customWidth="1"/>
    <col min="48" max="48" width="3.7109375" bestFit="1" customWidth="1"/>
    <col min="49" max="49" width="11.28515625" bestFit="1" customWidth="1"/>
    <col min="50" max="50" width="11.7109375" bestFit="1" customWidth="1"/>
    <col min="51" max="52" width="6.7109375" bestFit="1" customWidth="1"/>
    <col min="53" max="54" width="7.28515625" bestFit="1" customWidth="1"/>
    <col min="55" max="60" width="6.85546875" bestFit="1" customWidth="1"/>
    <col min="61" max="61" width="6.28515625" bestFit="1" customWidth="1"/>
    <col min="62" max="70" width="7.140625" bestFit="1" customWidth="1"/>
    <col min="71" max="74" width="6.5703125" bestFit="1" customWidth="1"/>
    <col min="75" max="77" width="7" bestFit="1" customWidth="1"/>
    <col min="78" max="78" width="11.7109375" bestFit="1" customWidth="1"/>
    <col min="79" max="79" width="6.5703125" bestFit="1" customWidth="1"/>
    <col min="80" max="80" width="6" bestFit="1" customWidth="1"/>
    <col min="81" max="81" width="6.42578125" bestFit="1" customWidth="1"/>
    <col min="82" max="82" width="16.5703125" bestFit="1" customWidth="1"/>
    <col min="83" max="83" width="11.7109375" bestFit="1" customWidth="1"/>
  </cols>
  <sheetData>
    <row r="3" spans="1:42" x14ac:dyDescent="0.2">
      <c r="A3" s="22" t="s">
        <v>25</v>
      </c>
      <c r="B3" s="22"/>
      <c r="D3" s="22" t="s">
        <v>25</v>
      </c>
      <c r="E3" t="s">
        <v>297</v>
      </c>
      <c r="H3" s="22" t="s">
        <v>25</v>
      </c>
      <c r="I3" s="22"/>
      <c r="N3" s="22" t="s">
        <v>25</v>
      </c>
      <c r="O3" t="s">
        <v>324</v>
      </c>
      <c r="P3" t="s">
        <v>322</v>
      </c>
      <c r="Q3" t="s">
        <v>323</v>
      </c>
      <c r="S3" s="22" t="s">
        <v>300</v>
      </c>
      <c r="T3" s="22" t="s">
        <v>298</v>
      </c>
      <c r="X3" s="22" t="s">
        <v>25</v>
      </c>
      <c r="Y3" t="s">
        <v>313</v>
      </c>
      <c r="AA3" s="22" t="s">
        <v>299</v>
      </c>
      <c r="AB3" s="22" t="s">
        <v>298</v>
      </c>
      <c r="AF3" s="22" t="s">
        <v>25</v>
      </c>
      <c r="AG3" t="s">
        <v>299</v>
      </c>
      <c r="AI3" s="22" t="s">
        <v>25</v>
      </c>
      <c r="AJ3" t="s">
        <v>299</v>
      </c>
      <c r="AL3" s="22" t="s">
        <v>25</v>
      </c>
      <c r="AM3" t="s">
        <v>299</v>
      </c>
      <c r="AO3" s="22" t="s">
        <v>25</v>
      </c>
      <c r="AP3" t="s">
        <v>326</v>
      </c>
    </row>
    <row r="4" spans="1:42" x14ac:dyDescent="0.2">
      <c r="A4" s="23" t="s">
        <v>28</v>
      </c>
      <c r="B4" s="23">
        <f>IF(OR(A4="(blank)",A4=""),"",1)</f>
        <v>1</v>
      </c>
      <c r="D4" s="23" t="s">
        <v>280</v>
      </c>
      <c r="E4" s="24">
        <v>0.12182741116751269</v>
      </c>
      <c r="H4" s="23" t="s">
        <v>76</v>
      </c>
      <c r="I4" s="23"/>
      <c r="J4">
        <f>IFERROR(VLOOKUP(H4,N:O,2,0),"")</f>
        <v>2</v>
      </c>
      <c r="K4">
        <f t="shared" ref="K4:K35" si="0">IFERROR(VLOOKUP(H4,S:V,2,0),"")</f>
        <v>2</v>
      </c>
      <c r="L4">
        <f>IFERROR(COUNTIF(Database!F:F,N4),"")</f>
        <v>7</v>
      </c>
      <c r="N4" s="23" t="s">
        <v>76</v>
      </c>
      <c r="O4">
        <v>2</v>
      </c>
      <c r="P4">
        <v>7</v>
      </c>
      <c r="Q4" s="24">
        <v>0.2857142857142857</v>
      </c>
      <c r="S4" s="22" t="s">
        <v>25</v>
      </c>
      <c r="T4" t="s">
        <v>290</v>
      </c>
      <c r="U4" t="s">
        <v>327</v>
      </c>
      <c r="V4" t="s">
        <v>26</v>
      </c>
      <c r="X4" s="23" t="s">
        <v>301</v>
      </c>
      <c r="Y4" s="76">
        <v>37.466666666666669</v>
      </c>
      <c r="AA4" s="22" t="s">
        <v>25</v>
      </c>
      <c r="AB4" t="s">
        <v>80</v>
      </c>
      <c r="AC4" t="s">
        <v>285</v>
      </c>
      <c r="AD4" t="s">
        <v>26</v>
      </c>
      <c r="AF4" s="23" t="s">
        <v>76</v>
      </c>
      <c r="AG4">
        <v>2</v>
      </c>
      <c r="AI4" s="91">
        <v>32</v>
      </c>
      <c r="AJ4">
        <v>4</v>
      </c>
      <c r="AL4" s="23" t="s">
        <v>48</v>
      </c>
      <c r="AM4">
        <v>15</v>
      </c>
      <c r="AO4" s="23" t="s">
        <v>76</v>
      </c>
      <c r="AP4">
        <v>0</v>
      </c>
    </row>
    <row r="5" spans="1:42" x14ac:dyDescent="0.2">
      <c r="A5" s="23" t="s">
        <v>37</v>
      </c>
      <c r="B5" s="23">
        <f t="shared" ref="B5:B68" si="1">IF(OR(A5="(blank)",A5=""),"",1)</f>
        <v>1</v>
      </c>
      <c r="D5" s="23" t="s">
        <v>279</v>
      </c>
      <c r="E5" s="24">
        <v>0.87817258883248728</v>
      </c>
      <c r="H5" s="23" t="s">
        <v>17</v>
      </c>
      <c r="I5" s="23"/>
      <c r="J5">
        <f t="shared" ref="J5:J68" si="2">IFERROR(VLOOKUP(H5,N:O,2,0),"")</f>
        <v>5</v>
      </c>
      <c r="K5">
        <f t="shared" si="0"/>
        <v>3</v>
      </c>
      <c r="L5">
        <f>IFERROR(COUNTIF(Database!F:F,N5),"")</f>
        <v>10</v>
      </c>
      <c r="N5" s="23" t="s">
        <v>17</v>
      </c>
      <c r="O5">
        <v>5</v>
      </c>
      <c r="P5">
        <v>10</v>
      </c>
      <c r="Q5" s="24">
        <v>0.5</v>
      </c>
      <c r="S5" s="23" t="s">
        <v>76</v>
      </c>
      <c r="T5">
        <v>2</v>
      </c>
      <c r="V5">
        <v>2</v>
      </c>
      <c r="X5" s="23" t="s">
        <v>302</v>
      </c>
      <c r="Y5" s="76">
        <v>37.75</v>
      </c>
      <c r="AA5" s="96">
        <v>43961</v>
      </c>
      <c r="AB5">
        <v>1</v>
      </c>
      <c r="AD5">
        <v>1</v>
      </c>
      <c r="AF5" s="23" t="s">
        <v>17</v>
      </c>
      <c r="AG5">
        <v>5</v>
      </c>
      <c r="AI5" s="91">
        <v>37</v>
      </c>
      <c r="AJ5">
        <v>4</v>
      </c>
      <c r="AL5" s="23" t="s">
        <v>47</v>
      </c>
      <c r="AM5">
        <v>26</v>
      </c>
      <c r="AO5" s="23" t="s">
        <v>17</v>
      </c>
      <c r="AP5">
        <v>2</v>
      </c>
    </row>
    <row r="6" spans="1:42" x14ac:dyDescent="0.2">
      <c r="A6" s="23" t="s">
        <v>167</v>
      </c>
      <c r="B6" s="23">
        <f t="shared" si="1"/>
        <v>1</v>
      </c>
      <c r="D6" s="23" t="s">
        <v>26</v>
      </c>
      <c r="E6" s="24">
        <v>1</v>
      </c>
      <c r="H6" s="23" t="s">
        <v>77</v>
      </c>
      <c r="I6" s="23"/>
      <c r="J6">
        <f t="shared" si="2"/>
        <v>6</v>
      </c>
      <c r="K6">
        <f t="shared" si="0"/>
        <v>6</v>
      </c>
      <c r="L6">
        <f>IFERROR(COUNTIF(Database!F:F,N6),"")</f>
        <v>16</v>
      </c>
      <c r="N6" s="23" t="s">
        <v>77</v>
      </c>
      <c r="O6">
        <v>6</v>
      </c>
      <c r="P6">
        <v>16</v>
      </c>
      <c r="Q6" s="24">
        <v>0.375</v>
      </c>
      <c r="S6" s="23" t="s">
        <v>17</v>
      </c>
      <c r="T6">
        <v>3</v>
      </c>
      <c r="V6">
        <v>3</v>
      </c>
      <c r="X6" s="23" t="s">
        <v>303</v>
      </c>
      <c r="Y6" s="76">
        <v>37.526315789473685</v>
      </c>
      <c r="AA6" s="96">
        <v>44050</v>
      </c>
      <c r="AB6">
        <v>1</v>
      </c>
      <c r="AD6">
        <v>1</v>
      </c>
      <c r="AF6" s="23" t="s">
        <v>77</v>
      </c>
      <c r="AG6">
        <v>6</v>
      </c>
      <c r="AI6" s="91">
        <v>28</v>
      </c>
      <c r="AJ6">
        <v>1</v>
      </c>
      <c r="AL6" s="23" t="s">
        <v>26</v>
      </c>
      <c r="AM6">
        <v>41</v>
      </c>
      <c r="AO6" s="23" t="s">
        <v>77</v>
      </c>
      <c r="AP6">
        <v>0</v>
      </c>
    </row>
    <row r="7" spans="1:42" x14ac:dyDescent="0.2">
      <c r="A7" s="23" t="s">
        <v>168</v>
      </c>
      <c r="B7" s="23">
        <f t="shared" si="1"/>
        <v>1</v>
      </c>
      <c r="H7" s="23" t="s">
        <v>16</v>
      </c>
      <c r="I7" s="23"/>
      <c r="J7">
        <f t="shared" si="2"/>
        <v>5</v>
      </c>
      <c r="K7">
        <f t="shared" si="0"/>
        <v>5</v>
      </c>
      <c r="L7">
        <f>IFERROR(COUNTIF(Database!F:F,N7),"")</f>
        <v>13</v>
      </c>
      <c r="N7" s="23" t="s">
        <v>16</v>
      </c>
      <c r="O7">
        <v>5</v>
      </c>
      <c r="P7">
        <v>13</v>
      </c>
      <c r="Q7" s="24">
        <v>0.38461538461538464</v>
      </c>
      <c r="S7" s="23" t="s">
        <v>77</v>
      </c>
      <c r="T7">
        <v>6</v>
      </c>
      <c r="V7">
        <v>6</v>
      </c>
      <c r="X7" s="23" t="s">
        <v>304</v>
      </c>
      <c r="Y7" s="76">
        <v>37.555555555555557</v>
      </c>
      <c r="AA7" s="96">
        <v>43922</v>
      </c>
      <c r="AB7">
        <v>1</v>
      </c>
      <c r="AD7">
        <v>1</v>
      </c>
      <c r="AF7" s="23" t="s">
        <v>16</v>
      </c>
      <c r="AG7">
        <v>5</v>
      </c>
      <c r="AI7" s="91">
        <v>30</v>
      </c>
      <c r="AJ7">
        <v>1</v>
      </c>
      <c r="AO7" s="23" t="s">
        <v>16</v>
      </c>
      <c r="AP7">
        <v>0</v>
      </c>
    </row>
    <row r="8" spans="1:42" x14ac:dyDescent="0.2">
      <c r="A8" s="23" t="s">
        <v>169</v>
      </c>
      <c r="B8" s="23">
        <f t="shared" si="1"/>
        <v>1</v>
      </c>
      <c r="H8" s="23" t="s">
        <v>74</v>
      </c>
      <c r="I8" s="23"/>
      <c r="J8">
        <f t="shared" si="2"/>
        <v>4</v>
      </c>
      <c r="K8">
        <f t="shared" si="0"/>
        <v>4</v>
      </c>
      <c r="L8">
        <f>IFERROR(COUNTIF(Database!F:F,N8),"")</f>
        <v>12</v>
      </c>
      <c r="N8" s="23" t="s">
        <v>74</v>
      </c>
      <c r="O8">
        <v>4</v>
      </c>
      <c r="P8">
        <v>12</v>
      </c>
      <c r="Q8" s="24">
        <v>0.33333333333333331</v>
      </c>
      <c r="S8" s="23" t="s">
        <v>16</v>
      </c>
      <c r="T8">
        <v>5</v>
      </c>
      <c r="V8">
        <v>5</v>
      </c>
      <c r="X8" s="23" t="s">
        <v>305</v>
      </c>
      <c r="Y8" s="76">
        <v>37.75</v>
      </c>
      <c r="AA8" s="96">
        <v>43900</v>
      </c>
      <c r="AB8">
        <v>1</v>
      </c>
      <c r="AD8">
        <v>1</v>
      </c>
      <c r="AF8" s="23" t="s">
        <v>74</v>
      </c>
      <c r="AG8">
        <v>4</v>
      </c>
      <c r="AI8" s="91">
        <v>25</v>
      </c>
      <c r="AJ8">
        <v>2</v>
      </c>
      <c r="AO8" s="23" t="s">
        <v>74</v>
      </c>
      <c r="AP8">
        <v>0</v>
      </c>
    </row>
    <row r="9" spans="1:42" x14ac:dyDescent="0.2">
      <c r="A9" s="23" t="s">
        <v>170</v>
      </c>
      <c r="B9" s="23">
        <f t="shared" si="1"/>
        <v>1</v>
      </c>
      <c r="H9" s="23" t="s">
        <v>78</v>
      </c>
      <c r="I9" s="23"/>
      <c r="J9">
        <f t="shared" si="2"/>
        <v>4</v>
      </c>
      <c r="K9">
        <f t="shared" si="0"/>
        <v>4</v>
      </c>
      <c r="L9">
        <f>IFERROR(COUNTIF(Database!F:F,N9),"")</f>
        <v>15</v>
      </c>
      <c r="N9" s="23" t="s">
        <v>78</v>
      </c>
      <c r="O9">
        <v>4</v>
      </c>
      <c r="P9">
        <v>15</v>
      </c>
      <c r="Q9" s="24">
        <v>0.26666666666666666</v>
      </c>
      <c r="S9" s="23" t="s">
        <v>74</v>
      </c>
      <c r="T9">
        <v>4</v>
      </c>
      <c r="V9">
        <v>4</v>
      </c>
      <c r="X9" s="23" t="s">
        <v>306</v>
      </c>
      <c r="Y9" s="76">
        <v>38.055555555555557</v>
      </c>
      <c r="AA9" s="96">
        <v>43914</v>
      </c>
      <c r="AB9">
        <v>1</v>
      </c>
      <c r="AD9">
        <v>1</v>
      </c>
      <c r="AF9" s="23" t="s">
        <v>78</v>
      </c>
      <c r="AG9">
        <v>4</v>
      </c>
      <c r="AI9" s="91">
        <v>36</v>
      </c>
      <c r="AJ9">
        <v>6</v>
      </c>
      <c r="AO9" s="23" t="s">
        <v>78</v>
      </c>
      <c r="AP9">
        <v>0</v>
      </c>
    </row>
    <row r="10" spans="1:42" x14ac:dyDescent="0.2">
      <c r="A10" s="23" t="s">
        <v>171</v>
      </c>
      <c r="B10" s="23">
        <f t="shared" si="1"/>
        <v>1</v>
      </c>
      <c r="H10" s="23" t="s">
        <v>23</v>
      </c>
      <c r="I10" s="23"/>
      <c r="J10">
        <f t="shared" si="2"/>
        <v>7</v>
      </c>
      <c r="K10">
        <f t="shared" si="0"/>
        <v>7</v>
      </c>
      <c r="L10">
        <f>IFERROR(COUNTIF(Database!F:F,N10),"")</f>
        <v>13</v>
      </c>
      <c r="N10" s="23" t="s">
        <v>23</v>
      </c>
      <c r="O10">
        <v>7</v>
      </c>
      <c r="P10">
        <v>13</v>
      </c>
      <c r="Q10" s="24">
        <v>0.53846153846153855</v>
      </c>
      <c r="S10" s="23" t="s">
        <v>78</v>
      </c>
      <c r="T10">
        <v>4</v>
      </c>
      <c r="V10">
        <v>4</v>
      </c>
      <c r="X10" s="23" t="s">
        <v>307</v>
      </c>
      <c r="Y10" s="76">
        <v>38.06666666666667</v>
      </c>
      <c r="AA10" s="96">
        <v>43930</v>
      </c>
      <c r="AB10">
        <v>2</v>
      </c>
      <c r="AD10">
        <v>2</v>
      </c>
      <c r="AF10" s="23" t="s">
        <v>23</v>
      </c>
      <c r="AG10">
        <v>7</v>
      </c>
      <c r="AI10" s="91">
        <v>29</v>
      </c>
      <c r="AJ10">
        <v>7</v>
      </c>
      <c r="AO10" s="23" t="s">
        <v>23</v>
      </c>
      <c r="AP10">
        <v>0</v>
      </c>
    </row>
    <row r="11" spans="1:42" x14ac:dyDescent="0.2">
      <c r="A11" s="23" t="s">
        <v>172</v>
      </c>
      <c r="B11" s="23">
        <f t="shared" si="1"/>
        <v>1</v>
      </c>
      <c r="H11" s="23" t="s">
        <v>75</v>
      </c>
      <c r="I11" s="23"/>
      <c r="J11">
        <f t="shared" si="2"/>
        <v>8</v>
      </c>
      <c r="K11">
        <f t="shared" si="0"/>
        <v>7</v>
      </c>
      <c r="L11">
        <f>IFERROR(COUNTIF(Database!F:F,N11),"")</f>
        <v>18</v>
      </c>
      <c r="N11" s="23" t="s">
        <v>75</v>
      </c>
      <c r="O11">
        <v>8</v>
      </c>
      <c r="P11">
        <v>18</v>
      </c>
      <c r="Q11" s="24">
        <v>0.44444444444444453</v>
      </c>
      <c r="S11" s="23" t="s">
        <v>23</v>
      </c>
      <c r="T11">
        <v>7</v>
      </c>
      <c r="V11">
        <v>7</v>
      </c>
      <c r="X11" s="23" t="s">
        <v>308</v>
      </c>
      <c r="Y11" s="76">
        <v>37.375</v>
      </c>
      <c r="AA11" s="96">
        <v>43927</v>
      </c>
      <c r="AB11">
        <v>1</v>
      </c>
      <c r="AD11">
        <v>1</v>
      </c>
      <c r="AF11" s="23" t="s">
        <v>75</v>
      </c>
      <c r="AG11">
        <v>8</v>
      </c>
      <c r="AI11" s="91">
        <v>27</v>
      </c>
      <c r="AJ11">
        <v>4</v>
      </c>
      <c r="AO11" s="23" t="s">
        <v>75</v>
      </c>
      <c r="AP11">
        <v>1</v>
      </c>
    </row>
    <row r="12" spans="1:42" x14ac:dyDescent="0.2">
      <c r="A12" s="23" t="s">
        <v>173</v>
      </c>
      <c r="B12" s="23">
        <f t="shared" si="1"/>
        <v>1</v>
      </c>
      <c r="I12" s="23"/>
      <c r="J12" t="str">
        <f t="shared" si="2"/>
        <v/>
      </c>
      <c r="K12" t="str">
        <f t="shared" si="0"/>
        <v/>
      </c>
      <c r="L12">
        <f>IFERROR(COUNTIF(Database!F:F,N12),"")</f>
        <v>0</v>
      </c>
      <c r="N12" s="23" t="s">
        <v>26</v>
      </c>
      <c r="O12">
        <v>41</v>
      </c>
      <c r="P12">
        <v>13.853658536585366</v>
      </c>
      <c r="Q12" s="24">
        <v>3.1282356532356528</v>
      </c>
      <c r="S12" s="23" t="s">
        <v>75</v>
      </c>
      <c r="T12">
        <v>7</v>
      </c>
      <c r="V12">
        <v>7</v>
      </c>
      <c r="X12" s="23" t="s">
        <v>309</v>
      </c>
      <c r="Y12" s="76">
        <v>37.368421052631582</v>
      </c>
      <c r="AA12" s="96">
        <v>44118</v>
      </c>
      <c r="AB12">
        <v>1</v>
      </c>
      <c r="AD12">
        <v>1</v>
      </c>
      <c r="AF12" s="23" t="s">
        <v>26</v>
      </c>
      <c r="AG12">
        <v>41</v>
      </c>
      <c r="AI12" s="91">
        <v>38</v>
      </c>
      <c r="AJ12">
        <v>8</v>
      </c>
      <c r="AO12" s="23" t="s">
        <v>26</v>
      </c>
      <c r="AP12">
        <v>3</v>
      </c>
    </row>
    <row r="13" spans="1:42" x14ac:dyDescent="0.2">
      <c r="A13" s="23" t="s">
        <v>38</v>
      </c>
      <c r="B13" s="23">
        <f t="shared" si="1"/>
        <v>1</v>
      </c>
      <c r="J13" t="str">
        <f t="shared" si="2"/>
        <v/>
      </c>
      <c r="K13" t="str">
        <f t="shared" si="0"/>
        <v/>
      </c>
      <c r="L13">
        <f>IFERROR(COUNTIF(Database!F:F,N13),"")</f>
        <v>0</v>
      </c>
      <c r="S13" s="23" t="s">
        <v>26</v>
      </c>
      <c r="T13">
        <v>38</v>
      </c>
      <c r="V13">
        <v>38</v>
      </c>
      <c r="X13" s="23" t="s">
        <v>310</v>
      </c>
      <c r="Y13" s="76">
        <v>37.476190476190474</v>
      </c>
      <c r="AA13" s="96">
        <v>44021</v>
      </c>
      <c r="AB13">
        <v>1</v>
      </c>
      <c r="AD13">
        <v>1</v>
      </c>
      <c r="AI13" s="91">
        <v>31</v>
      </c>
      <c r="AJ13">
        <v>3</v>
      </c>
    </row>
    <row r="14" spans="1:42" x14ac:dyDescent="0.2">
      <c r="A14" s="23" t="s">
        <v>39</v>
      </c>
      <c r="B14" s="23">
        <f t="shared" si="1"/>
        <v>1</v>
      </c>
      <c r="J14" t="str">
        <f t="shared" si="2"/>
        <v/>
      </c>
      <c r="K14" t="str">
        <f t="shared" si="0"/>
        <v/>
      </c>
      <c r="L14">
        <f>IFERROR(COUNTIF(Database!F:F,N14),"")</f>
        <v>0</v>
      </c>
      <c r="X14" s="23" t="s">
        <v>311</v>
      </c>
      <c r="Y14" s="76">
        <v>37.647058823529413</v>
      </c>
      <c r="AA14" s="96">
        <v>44009</v>
      </c>
      <c r="AB14">
        <v>1</v>
      </c>
      <c r="AD14">
        <v>1</v>
      </c>
      <c r="AI14" s="91">
        <v>26</v>
      </c>
      <c r="AJ14">
        <v>1</v>
      </c>
    </row>
    <row r="15" spans="1:42" x14ac:dyDescent="0.2">
      <c r="A15" s="23" t="s">
        <v>40</v>
      </c>
      <c r="B15" s="23">
        <f t="shared" si="1"/>
        <v>1</v>
      </c>
      <c r="J15" t="str">
        <f t="shared" si="2"/>
        <v/>
      </c>
      <c r="K15" t="str">
        <f t="shared" si="0"/>
        <v/>
      </c>
      <c r="L15">
        <f>IFERROR(COUNTIF(Database!F:F,N15),"")</f>
        <v>0</v>
      </c>
      <c r="X15" s="23" t="s">
        <v>312</v>
      </c>
      <c r="Y15" s="76">
        <v>37.526315789473685</v>
      </c>
      <c r="AA15" s="96">
        <v>44055</v>
      </c>
      <c r="AB15">
        <v>1</v>
      </c>
      <c r="AD15">
        <v>1</v>
      </c>
      <c r="AI15" s="91" t="s">
        <v>26</v>
      </c>
      <c r="AJ15">
        <v>41</v>
      </c>
    </row>
    <row r="16" spans="1:42" x14ac:dyDescent="0.2">
      <c r="A16" s="23" t="s">
        <v>41</v>
      </c>
      <c r="B16" s="23">
        <f t="shared" si="1"/>
        <v>1</v>
      </c>
      <c r="J16" t="str">
        <f t="shared" si="2"/>
        <v/>
      </c>
      <c r="K16" t="str">
        <f t="shared" si="0"/>
        <v/>
      </c>
      <c r="L16">
        <f>IFERROR(COUNTIF(Database!F:F,N16),"")</f>
        <v>0</v>
      </c>
      <c r="X16" s="23" t="s">
        <v>26</v>
      </c>
      <c r="Y16" s="76">
        <v>37.614213197969541</v>
      </c>
      <c r="AA16" s="96">
        <v>43939</v>
      </c>
      <c r="AB16">
        <v>1</v>
      </c>
      <c r="AD16">
        <v>1</v>
      </c>
    </row>
    <row r="17" spans="1:30" x14ac:dyDescent="0.2">
      <c r="A17" s="23" t="s">
        <v>82</v>
      </c>
      <c r="B17" s="23">
        <f t="shared" si="1"/>
        <v>1</v>
      </c>
      <c r="J17" t="str">
        <f t="shared" si="2"/>
        <v/>
      </c>
      <c r="K17" t="str">
        <f t="shared" si="0"/>
        <v/>
      </c>
      <c r="L17">
        <f>IFERROR(COUNTIF(Database!F:F,N17),"")</f>
        <v>0</v>
      </c>
      <c r="AA17" s="96">
        <v>44131</v>
      </c>
      <c r="AB17">
        <v>1</v>
      </c>
      <c r="AD17">
        <v>1</v>
      </c>
    </row>
    <row r="18" spans="1:30" x14ac:dyDescent="0.2">
      <c r="A18" s="23" t="s">
        <v>84</v>
      </c>
      <c r="B18" s="23">
        <f t="shared" si="1"/>
        <v>1</v>
      </c>
      <c r="J18" t="str">
        <f t="shared" si="2"/>
        <v/>
      </c>
      <c r="K18" t="str">
        <f t="shared" si="0"/>
        <v/>
      </c>
      <c r="L18">
        <f>IFERROR(COUNTIF(Database!F:F,N18),"")</f>
        <v>0</v>
      </c>
      <c r="AA18" s="96">
        <v>44058</v>
      </c>
      <c r="AB18">
        <v>1</v>
      </c>
      <c r="AD18">
        <v>1</v>
      </c>
    </row>
    <row r="19" spans="1:30" x14ac:dyDescent="0.2">
      <c r="A19" s="23" t="s">
        <v>85</v>
      </c>
      <c r="B19" s="23">
        <f t="shared" si="1"/>
        <v>1</v>
      </c>
      <c r="J19" t="str">
        <f t="shared" si="2"/>
        <v/>
      </c>
      <c r="K19" t="str">
        <f t="shared" si="0"/>
        <v/>
      </c>
      <c r="L19">
        <f>IFERROR(COUNTIF(Database!F:F,N19),"")</f>
        <v>0</v>
      </c>
      <c r="AA19" s="96">
        <v>44134</v>
      </c>
      <c r="AB19">
        <v>1</v>
      </c>
      <c r="AD19">
        <v>1</v>
      </c>
    </row>
    <row r="20" spans="1:30" x14ac:dyDescent="0.2">
      <c r="A20" s="23" t="s">
        <v>86</v>
      </c>
      <c r="B20" s="23">
        <f t="shared" si="1"/>
        <v>1</v>
      </c>
      <c r="J20" t="str">
        <f t="shared" si="2"/>
        <v/>
      </c>
      <c r="K20" t="str">
        <f t="shared" si="0"/>
        <v/>
      </c>
      <c r="L20">
        <f>IFERROR(COUNTIF(Database!F:F,N20),"")</f>
        <v>0</v>
      </c>
      <c r="AA20" s="96">
        <v>43877</v>
      </c>
      <c r="AC20">
        <v>1</v>
      </c>
      <c r="AD20">
        <v>1</v>
      </c>
    </row>
    <row r="21" spans="1:30" x14ac:dyDescent="0.2">
      <c r="A21" s="23" t="s">
        <v>29</v>
      </c>
      <c r="B21" s="23">
        <f t="shared" si="1"/>
        <v>1</v>
      </c>
      <c r="J21" t="str">
        <f t="shared" si="2"/>
        <v/>
      </c>
      <c r="K21" t="str">
        <f t="shared" si="0"/>
        <v/>
      </c>
      <c r="L21">
        <f>IFERROR(COUNTIF(Database!F:F,N21),"")</f>
        <v>0</v>
      </c>
      <c r="AA21" s="96">
        <v>44000</v>
      </c>
      <c r="AB21">
        <v>2</v>
      </c>
      <c r="AD21">
        <v>2</v>
      </c>
    </row>
    <row r="22" spans="1:30" x14ac:dyDescent="0.2">
      <c r="A22" s="23" t="s">
        <v>87</v>
      </c>
      <c r="B22" s="23">
        <f t="shared" si="1"/>
        <v>1</v>
      </c>
      <c r="J22" t="str">
        <f t="shared" si="2"/>
        <v/>
      </c>
      <c r="K22" t="str">
        <f t="shared" si="0"/>
        <v/>
      </c>
      <c r="L22">
        <f>IFERROR(COUNTIF(Database!F:F,N22),"")</f>
        <v>0</v>
      </c>
      <c r="AA22" s="96">
        <v>43908</v>
      </c>
      <c r="AB22">
        <v>2</v>
      </c>
      <c r="AD22">
        <v>2</v>
      </c>
    </row>
    <row r="23" spans="1:30" x14ac:dyDescent="0.2">
      <c r="A23" s="23" t="s">
        <v>88</v>
      </c>
      <c r="B23" s="23">
        <f t="shared" si="1"/>
        <v>1</v>
      </c>
      <c r="J23" t="str">
        <f t="shared" si="2"/>
        <v/>
      </c>
      <c r="K23" t="str">
        <f t="shared" si="0"/>
        <v/>
      </c>
      <c r="L23">
        <f>IFERROR(COUNTIF(Database!F:F,N23),"")</f>
        <v>0</v>
      </c>
      <c r="AA23" s="96">
        <v>44079</v>
      </c>
      <c r="AB23">
        <v>1</v>
      </c>
      <c r="AD23">
        <v>1</v>
      </c>
    </row>
    <row r="24" spans="1:30" x14ac:dyDescent="0.2">
      <c r="A24" s="23" t="s">
        <v>90</v>
      </c>
      <c r="B24" s="23">
        <f t="shared" si="1"/>
        <v>1</v>
      </c>
      <c r="J24" t="str">
        <f t="shared" si="2"/>
        <v/>
      </c>
      <c r="K24" t="str">
        <f t="shared" si="0"/>
        <v/>
      </c>
      <c r="L24">
        <f>IFERROR(COUNTIF(Database!F:F,N24),"")</f>
        <v>0</v>
      </c>
      <c r="AA24" s="96">
        <v>44177</v>
      </c>
      <c r="AB24">
        <v>1</v>
      </c>
      <c r="AD24">
        <v>1</v>
      </c>
    </row>
    <row r="25" spans="1:30" x14ac:dyDescent="0.2">
      <c r="A25" s="23" t="s">
        <v>91</v>
      </c>
      <c r="B25" s="23">
        <f t="shared" si="1"/>
        <v>1</v>
      </c>
      <c r="J25" t="str">
        <f t="shared" si="2"/>
        <v/>
      </c>
      <c r="K25" t="str">
        <f t="shared" si="0"/>
        <v/>
      </c>
      <c r="L25">
        <f>IFERROR(COUNTIF(Database!F:F,N25),"")</f>
        <v>0</v>
      </c>
      <c r="AA25" s="96">
        <v>44045</v>
      </c>
      <c r="AB25">
        <v>1</v>
      </c>
      <c r="AD25">
        <v>1</v>
      </c>
    </row>
    <row r="26" spans="1:30" x14ac:dyDescent="0.2">
      <c r="A26" s="23" t="s">
        <v>92</v>
      </c>
      <c r="B26" s="23">
        <f t="shared" si="1"/>
        <v>1</v>
      </c>
      <c r="J26" t="str">
        <f t="shared" si="2"/>
        <v/>
      </c>
      <c r="K26" t="str">
        <f t="shared" si="0"/>
        <v/>
      </c>
      <c r="L26">
        <f>IFERROR(COUNTIF(Database!F:F,N26),"")</f>
        <v>0</v>
      </c>
      <c r="AA26" s="96">
        <v>43941</v>
      </c>
      <c r="AB26">
        <v>1</v>
      </c>
      <c r="AD26">
        <v>1</v>
      </c>
    </row>
    <row r="27" spans="1:30" x14ac:dyDescent="0.2">
      <c r="A27" s="23" t="s">
        <v>93</v>
      </c>
      <c r="B27" s="23">
        <f t="shared" si="1"/>
        <v>1</v>
      </c>
      <c r="J27" t="str">
        <f t="shared" si="2"/>
        <v/>
      </c>
      <c r="K27" t="str">
        <f t="shared" si="0"/>
        <v/>
      </c>
      <c r="L27">
        <f>IFERROR(COUNTIF(Database!F:F,N27),"")</f>
        <v>0</v>
      </c>
      <c r="AA27" s="96">
        <v>44054</v>
      </c>
      <c r="AB27">
        <v>1</v>
      </c>
      <c r="AD27">
        <v>1</v>
      </c>
    </row>
    <row r="28" spans="1:30" x14ac:dyDescent="0.2">
      <c r="A28" s="23" t="s">
        <v>95</v>
      </c>
      <c r="B28" s="23">
        <f t="shared" si="1"/>
        <v>1</v>
      </c>
      <c r="J28" t="str">
        <f t="shared" si="2"/>
        <v/>
      </c>
      <c r="K28" t="str">
        <f t="shared" si="0"/>
        <v/>
      </c>
      <c r="L28">
        <f>IFERROR(COUNTIF(Database!F:F,N28),"")</f>
        <v>0</v>
      </c>
      <c r="AA28" s="96">
        <v>44115</v>
      </c>
      <c r="AC28">
        <v>1</v>
      </c>
      <c r="AD28">
        <v>1</v>
      </c>
    </row>
    <row r="29" spans="1:30" x14ac:dyDescent="0.2">
      <c r="A29" s="23" t="s">
        <v>96</v>
      </c>
      <c r="B29" s="23">
        <f t="shared" si="1"/>
        <v>1</v>
      </c>
      <c r="J29" t="str">
        <f t="shared" si="2"/>
        <v/>
      </c>
      <c r="K29" t="str">
        <f t="shared" si="0"/>
        <v/>
      </c>
      <c r="L29">
        <f>IFERROR(COUNTIF(Database!F:F,N29),"")</f>
        <v>0</v>
      </c>
      <c r="AA29" s="96">
        <v>43956</v>
      </c>
      <c r="AC29">
        <v>1</v>
      </c>
      <c r="AD29">
        <v>1</v>
      </c>
    </row>
    <row r="30" spans="1:30" x14ac:dyDescent="0.2">
      <c r="A30" s="23" t="s">
        <v>97</v>
      </c>
      <c r="B30" s="23">
        <f t="shared" si="1"/>
        <v>1</v>
      </c>
      <c r="J30" t="str">
        <f t="shared" si="2"/>
        <v/>
      </c>
      <c r="K30" t="str">
        <f t="shared" si="0"/>
        <v/>
      </c>
      <c r="L30">
        <f>IFERROR(COUNTIF(Database!F:F,N30),"")</f>
        <v>0</v>
      </c>
      <c r="AA30" s="96">
        <v>44078</v>
      </c>
      <c r="AB30">
        <v>1</v>
      </c>
      <c r="AD30">
        <v>1</v>
      </c>
    </row>
    <row r="31" spans="1:30" x14ac:dyDescent="0.2">
      <c r="A31" s="23" t="s">
        <v>98</v>
      </c>
      <c r="B31" s="23">
        <f t="shared" si="1"/>
        <v>1</v>
      </c>
      <c r="J31" t="str">
        <f t="shared" si="2"/>
        <v/>
      </c>
      <c r="K31" t="str">
        <f t="shared" si="0"/>
        <v/>
      </c>
      <c r="L31">
        <f>IFERROR(COUNTIF(Database!F:F,N31),"")</f>
        <v>0</v>
      </c>
      <c r="AA31" s="96">
        <v>44062</v>
      </c>
      <c r="AB31">
        <v>1</v>
      </c>
      <c r="AD31">
        <v>1</v>
      </c>
    </row>
    <row r="32" spans="1:30" x14ac:dyDescent="0.2">
      <c r="A32" s="23" t="s">
        <v>99</v>
      </c>
      <c r="B32" s="23">
        <f t="shared" si="1"/>
        <v>1</v>
      </c>
      <c r="J32" t="str">
        <f t="shared" si="2"/>
        <v/>
      </c>
      <c r="K32" t="str">
        <f t="shared" si="0"/>
        <v/>
      </c>
      <c r="L32">
        <f>IFERROR(COUNTIF(Database!F:F,N32),"")</f>
        <v>0</v>
      </c>
      <c r="AA32" s="96">
        <v>44011</v>
      </c>
      <c r="AB32">
        <v>1</v>
      </c>
      <c r="AD32">
        <v>1</v>
      </c>
    </row>
    <row r="33" spans="1:30" x14ac:dyDescent="0.2">
      <c r="A33" s="23" t="s">
        <v>100</v>
      </c>
      <c r="B33" s="23">
        <f t="shared" si="1"/>
        <v>1</v>
      </c>
      <c r="J33" t="str">
        <f t="shared" si="2"/>
        <v/>
      </c>
      <c r="K33" t="str">
        <f t="shared" si="0"/>
        <v/>
      </c>
      <c r="L33">
        <f>IFERROR(COUNTIF(Database!F:F,N33),"")</f>
        <v>0</v>
      </c>
      <c r="AA33" s="96">
        <v>43990</v>
      </c>
      <c r="AB33">
        <v>1</v>
      </c>
      <c r="AD33">
        <v>1</v>
      </c>
    </row>
    <row r="34" spans="1:30" x14ac:dyDescent="0.2">
      <c r="A34" s="23" t="s">
        <v>102</v>
      </c>
      <c r="B34" s="23">
        <f t="shared" si="1"/>
        <v>1</v>
      </c>
      <c r="J34" t="str">
        <f t="shared" si="2"/>
        <v/>
      </c>
      <c r="K34" t="str">
        <f t="shared" si="0"/>
        <v/>
      </c>
      <c r="L34">
        <f>IFERROR(COUNTIF(Database!F:F,N34),"")</f>
        <v>0</v>
      </c>
      <c r="AA34" s="96">
        <v>43942</v>
      </c>
      <c r="AB34">
        <v>1</v>
      </c>
      <c r="AD34">
        <v>1</v>
      </c>
    </row>
    <row r="35" spans="1:30" x14ac:dyDescent="0.2">
      <c r="A35" s="23" t="s">
        <v>103</v>
      </c>
      <c r="B35" s="23">
        <f t="shared" si="1"/>
        <v>1</v>
      </c>
      <c r="J35" t="str">
        <f t="shared" si="2"/>
        <v/>
      </c>
      <c r="K35" t="str">
        <f t="shared" si="0"/>
        <v/>
      </c>
      <c r="L35">
        <f>IFERROR(COUNTIF(Database!F:F,N35),"")</f>
        <v>0</v>
      </c>
      <c r="AA35" s="96">
        <v>44155</v>
      </c>
      <c r="AB35">
        <v>1</v>
      </c>
      <c r="AD35">
        <v>1</v>
      </c>
    </row>
    <row r="36" spans="1:30" x14ac:dyDescent="0.2">
      <c r="A36" s="23" t="s">
        <v>104</v>
      </c>
      <c r="B36" s="23">
        <f t="shared" si="1"/>
        <v>1</v>
      </c>
      <c r="J36" t="str">
        <f t="shared" si="2"/>
        <v/>
      </c>
      <c r="K36" t="str">
        <f t="shared" ref="K36:K67" si="3">IFERROR(VLOOKUP(H36,S:V,2,0),"")</f>
        <v/>
      </c>
      <c r="L36">
        <f>IFERROR(COUNTIF(Database!F:F,N36),"")</f>
        <v>0</v>
      </c>
      <c r="AA36" s="96">
        <v>43992</v>
      </c>
      <c r="AB36">
        <v>1</v>
      </c>
      <c r="AD36">
        <v>1</v>
      </c>
    </row>
    <row r="37" spans="1:30" x14ac:dyDescent="0.2">
      <c r="A37" s="23" t="s">
        <v>105</v>
      </c>
      <c r="B37" s="23">
        <f t="shared" si="1"/>
        <v>1</v>
      </c>
      <c r="J37" t="str">
        <f t="shared" si="2"/>
        <v/>
      </c>
      <c r="K37" t="str">
        <f t="shared" si="3"/>
        <v/>
      </c>
      <c r="L37">
        <f>IFERROR(COUNTIF(Database!F:F,N37),"")</f>
        <v>0</v>
      </c>
      <c r="AA37" s="96">
        <v>43904</v>
      </c>
      <c r="AC37">
        <v>1</v>
      </c>
      <c r="AD37">
        <v>1</v>
      </c>
    </row>
    <row r="38" spans="1:30" x14ac:dyDescent="0.2">
      <c r="A38" s="23" t="s">
        <v>106</v>
      </c>
      <c r="B38" s="23">
        <f t="shared" si="1"/>
        <v>1</v>
      </c>
      <c r="J38" t="str">
        <f t="shared" si="2"/>
        <v/>
      </c>
      <c r="K38" t="str">
        <f t="shared" si="3"/>
        <v/>
      </c>
      <c r="L38">
        <f>IFERROR(COUNTIF(Database!F:F,N38),"")</f>
        <v>0</v>
      </c>
      <c r="AA38" s="96">
        <v>44146</v>
      </c>
      <c r="AB38">
        <v>1</v>
      </c>
      <c r="AD38">
        <v>1</v>
      </c>
    </row>
    <row r="39" spans="1:30" x14ac:dyDescent="0.2">
      <c r="A39" s="23" t="s">
        <v>107</v>
      </c>
      <c r="B39" s="23">
        <f t="shared" si="1"/>
        <v>1</v>
      </c>
      <c r="J39" t="str">
        <f t="shared" si="2"/>
        <v/>
      </c>
      <c r="K39" t="str">
        <f t="shared" si="3"/>
        <v/>
      </c>
      <c r="L39">
        <f>IFERROR(COUNTIF(Database!F:F,N39),"")</f>
        <v>0</v>
      </c>
      <c r="AA39" s="96">
        <v>44085</v>
      </c>
      <c r="AB39">
        <v>1</v>
      </c>
      <c r="AD39">
        <v>1</v>
      </c>
    </row>
    <row r="40" spans="1:30" x14ac:dyDescent="0.2">
      <c r="A40" s="23" t="s">
        <v>108</v>
      </c>
      <c r="B40" s="23">
        <f t="shared" si="1"/>
        <v>1</v>
      </c>
      <c r="J40" t="str">
        <f t="shared" si="2"/>
        <v/>
      </c>
      <c r="K40" t="str">
        <f t="shared" si="3"/>
        <v/>
      </c>
      <c r="L40">
        <f>IFERROR(COUNTIF(Database!F:F,N40),"")</f>
        <v>0</v>
      </c>
      <c r="AA40" s="96">
        <v>43984</v>
      </c>
      <c r="AC40">
        <v>1</v>
      </c>
      <c r="AD40">
        <v>1</v>
      </c>
    </row>
    <row r="41" spans="1:30" x14ac:dyDescent="0.2">
      <c r="A41" s="23" t="s">
        <v>109</v>
      </c>
      <c r="B41" s="23">
        <f t="shared" si="1"/>
        <v>1</v>
      </c>
      <c r="J41" t="str">
        <f t="shared" si="2"/>
        <v/>
      </c>
      <c r="K41" t="str">
        <f t="shared" si="3"/>
        <v/>
      </c>
      <c r="L41">
        <f>IFERROR(COUNTIF(Database!F:F,N41),"")</f>
        <v>0</v>
      </c>
      <c r="AA41" s="96">
        <v>44185</v>
      </c>
      <c r="AB41">
        <v>1</v>
      </c>
      <c r="AD41">
        <v>1</v>
      </c>
    </row>
    <row r="42" spans="1:30" x14ac:dyDescent="0.2">
      <c r="A42" s="23" t="s">
        <v>110</v>
      </c>
      <c r="B42" s="23">
        <f t="shared" si="1"/>
        <v>1</v>
      </c>
      <c r="J42" t="str">
        <f t="shared" si="2"/>
        <v/>
      </c>
      <c r="K42" t="str">
        <f t="shared" si="3"/>
        <v/>
      </c>
      <c r="L42">
        <f>IFERROR(COUNTIF(Database!F:F,N42),"")</f>
        <v>0</v>
      </c>
      <c r="AA42" s="96">
        <v>44173</v>
      </c>
      <c r="AB42">
        <v>1</v>
      </c>
      <c r="AD42">
        <v>1</v>
      </c>
    </row>
    <row r="43" spans="1:30" x14ac:dyDescent="0.2">
      <c r="A43" s="23" t="s">
        <v>111</v>
      </c>
      <c r="B43" s="23">
        <f t="shared" si="1"/>
        <v>1</v>
      </c>
      <c r="J43" t="str">
        <f t="shared" si="2"/>
        <v/>
      </c>
      <c r="K43" t="str">
        <f t="shared" si="3"/>
        <v/>
      </c>
      <c r="L43">
        <f>IFERROR(COUNTIF(Database!F:F,N43),"")</f>
        <v>0</v>
      </c>
      <c r="AA43" s="96" t="s">
        <v>26</v>
      </c>
      <c r="AB43">
        <v>36</v>
      </c>
      <c r="AC43">
        <v>5</v>
      </c>
      <c r="AD43">
        <v>41</v>
      </c>
    </row>
    <row r="44" spans="1:30" x14ac:dyDescent="0.2">
      <c r="A44" s="23" t="s">
        <v>112</v>
      </c>
      <c r="B44" s="23">
        <f t="shared" si="1"/>
        <v>1</v>
      </c>
      <c r="J44" t="str">
        <f t="shared" si="2"/>
        <v/>
      </c>
      <c r="K44" t="str">
        <f t="shared" si="3"/>
        <v/>
      </c>
      <c r="L44">
        <f>IFERROR(COUNTIF(Database!F:F,N44),"")</f>
        <v>0</v>
      </c>
    </row>
    <row r="45" spans="1:30" x14ac:dyDescent="0.2">
      <c r="A45" s="23" t="s">
        <v>113</v>
      </c>
      <c r="B45" s="23">
        <f t="shared" si="1"/>
        <v>1</v>
      </c>
      <c r="J45" t="str">
        <f t="shared" si="2"/>
        <v/>
      </c>
      <c r="K45" t="str">
        <f t="shared" si="3"/>
        <v/>
      </c>
      <c r="L45">
        <f>IFERROR(COUNTIF(Database!F:F,N45),"")</f>
        <v>0</v>
      </c>
    </row>
    <row r="46" spans="1:30" x14ac:dyDescent="0.2">
      <c r="A46" s="23" t="s">
        <v>114</v>
      </c>
      <c r="B46" s="23">
        <f t="shared" si="1"/>
        <v>1</v>
      </c>
      <c r="J46" t="str">
        <f t="shared" si="2"/>
        <v/>
      </c>
      <c r="K46" t="str">
        <f t="shared" si="3"/>
        <v/>
      </c>
      <c r="L46">
        <f>IFERROR(COUNTIF(Database!F:F,N46),"")</f>
        <v>0</v>
      </c>
    </row>
    <row r="47" spans="1:30" x14ac:dyDescent="0.2">
      <c r="A47" s="23" t="s">
        <v>115</v>
      </c>
      <c r="B47" s="23">
        <f t="shared" si="1"/>
        <v>1</v>
      </c>
      <c r="J47" t="str">
        <f t="shared" si="2"/>
        <v/>
      </c>
      <c r="K47" t="str">
        <f t="shared" si="3"/>
        <v/>
      </c>
      <c r="L47">
        <f>IFERROR(COUNTIF(Database!F:F,N47),"")</f>
        <v>0</v>
      </c>
    </row>
    <row r="48" spans="1:30" x14ac:dyDescent="0.2">
      <c r="A48" s="23" t="s">
        <v>116</v>
      </c>
      <c r="B48" s="23">
        <f t="shared" si="1"/>
        <v>1</v>
      </c>
      <c r="J48" t="str">
        <f t="shared" si="2"/>
        <v/>
      </c>
      <c r="K48" t="str">
        <f t="shared" si="3"/>
        <v/>
      </c>
      <c r="L48">
        <f>IFERROR(COUNTIF(Database!F:F,N48),"")</f>
        <v>0</v>
      </c>
    </row>
    <row r="49" spans="1:12" x14ac:dyDescent="0.2">
      <c r="A49" s="23" t="s">
        <v>32</v>
      </c>
      <c r="B49" s="23">
        <f t="shared" si="1"/>
        <v>1</v>
      </c>
      <c r="J49" t="str">
        <f t="shared" si="2"/>
        <v/>
      </c>
      <c r="K49" t="str">
        <f t="shared" si="3"/>
        <v/>
      </c>
      <c r="L49">
        <f>IFERROR(COUNTIF(Database!F:F,N49),"")</f>
        <v>0</v>
      </c>
    </row>
    <row r="50" spans="1:12" x14ac:dyDescent="0.2">
      <c r="A50" s="23" t="s">
        <v>118</v>
      </c>
      <c r="B50" s="23">
        <f t="shared" si="1"/>
        <v>1</v>
      </c>
      <c r="J50" t="str">
        <f t="shared" si="2"/>
        <v/>
      </c>
      <c r="K50" t="str">
        <f t="shared" si="3"/>
        <v/>
      </c>
      <c r="L50">
        <f>IFERROR(COUNTIF(Database!F:F,N50),"")</f>
        <v>0</v>
      </c>
    </row>
    <row r="51" spans="1:12" x14ac:dyDescent="0.2">
      <c r="A51" s="23" t="s">
        <v>119</v>
      </c>
      <c r="B51" s="23">
        <f t="shared" si="1"/>
        <v>1</v>
      </c>
      <c r="J51" t="str">
        <f t="shared" si="2"/>
        <v/>
      </c>
      <c r="K51" t="str">
        <f t="shared" si="3"/>
        <v/>
      </c>
      <c r="L51">
        <f>IFERROR(COUNTIF(Database!F:F,N51),"")</f>
        <v>0</v>
      </c>
    </row>
    <row r="52" spans="1:12" x14ac:dyDescent="0.2">
      <c r="A52" s="23" t="s">
        <v>120</v>
      </c>
      <c r="B52" s="23">
        <f t="shared" si="1"/>
        <v>1</v>
      </c>
      <c r="J52" t="str">
        <f t="shared" si="2"/>
        <v/>
      </c>
      <c r="K52" t="str">
        <f t="shared" si="3"/>
        <v/>
      </c>
      <c r="L52">
        <f>IFERROR(COUNTIF(Database!F:F,N52),"")</f>
        <v>0</v>
      </c>
    </row>
    <row r="53" spans="1:12" x14ac:dyDescent="0.2">
      <c r="A53" s="23" t="s">
        <v>121</v>
      </c>
      <c r="B53" s="23">
        <f t="shared" si="1"/>
        <v>1</v>
      </c>
      <c r="J53" t="str">
        <f t="shared" si="2"/>
        <v/>
      </c>
      <c r="K53" t="str">
        <f t="shared" si="3"/>
        <v/>
      </c>
      <c r="L53">
        <f>IFERROR(COUNTIF(Database!F:F,N53),"")</f>
        <v>0</v>
      </c>
    </row>
    <row r="54" spans="1:12" x14ac:dyDescent="0.2">
      <c r="A54" s="23" t="s">
        <v>122</v>
      </c>
      <c r="B54" s="23">
        <f t="shared" si="1"/>
        <v>1</v>
      </c>
      <c r="J54" t="str">
        <f t="shared" si="2"/>
        <v/>
      </c>
      <c r="K54" t="str">
        <f t="shared" si="3"/>
        <v/>
      </c>
      <c r="L54">
        <f>IFERROR(COUNTIF(Database!F:F,N54),"")</f>
        <v>0</v>
      </c>
    </row>
    <row r="55" spans="1:12" x14ac:dyDescent="0.2">
      <c r="A55" s="23" t="s">
        <v>123</v>
      </c>
      <c r="B55" s="23">
        <f t="shared" si="1"/>
        <v>1</v>
      </c>
      <c r="J55" t="str">
        <f t="shared" si="2"/>
        <v/>
      </c>
      <c r="K55" t="str">
        <f t="shared" si="3"/>
        <v/>
      </c>
      <c r="L55">
        <f>IFERROR(COUNTIF(Database!F:F,N55),"")</f>
        <v>0</v>
      </c>
    </row>
    <row r="56" spans="1:12" x14ac:dyDescent="0.2">
      <c r="A56" s="23" t="s">
        <v>124</v>
      </c>
      <c r="B56" s="23">
        <f t="shared" si="1"/>
        <v>1</v>
      </c>
      <c r="J56" t="str">
        <f t="shared" si="2"/>
        <v/>
      </c>
      <c r="K56" t="str">
        <f t="shared" si="3"/>
        <v/>
      </c>
      <c r="L56">
        <f>IFERROR(COUNTIF(Database!F:F,N56),"")</f>
        <v>0</v>
      </c>
    </row>
    <row r="57" spans="1:12" x14ac:dyDescent="0.2">
      <c r="A57" s="23" t="s">
        <v>126</v>
      </c>
      <c r="B57" s="23">
        <f t="shared" si="1"/>
        <v>1</v>
      </c>
      <c r="J57" t="str">
        <f t="shared" si="2"/>
        <v/>
      </c>
      <c r="K57" t="str">
        <f t="shared" si="3"/>
        <v/>
      </c>
      <c r="L57">
        <f>IFERROR(COUNTIF(Database!F:F,N57),"")</f>
        <v>0</v>
      </c>
    </row>
    <row r="58" spans="1:12" x14ac:dyDescent="0.2">
      <c r="A58" s="23" t="s">
        <v>33</v>
      </c>
      <c r="B58" s="23">
        <f t="shared" si="1"/>
        <v>1</v>
      </c>
      <c r="J58" t="str">
        <f t="shared" si="2"/>
        <v/>
      </c>
      <c r="K58" t="str">
        <f t="shared" si="3"/>
        <v/>
      </c>
      <c r="L58">
        <f>IFERROR(COUNTIF(Database!F:F,N58),"")</f>
        <v>0</v>
      </c>
    </row>
    <row r="59" spans="1:12" x14ac:dyDescent="0.2">
      <c r="A59" s="23" t="s">
        <v>127</v>
      </c>
      <c r="B59" s="23">
        <f t="shared" si="1"/>
        <v>1</v>
      </c>
      <c r="J59" t="str">
        <f t="shared" si="2"/>
        <v/>
      </c>
      <c r="K59" t="str">
        <f t="shared" si="3"/>
        <v/>
      </c>
      <c r="L59">
        <f>IFERROR(COUNTIF(Database!F:F,N59),"")</f>
        <v>0</v>
      </c>
    </row>
    <row r="60" spans="1:12" x14ac:dyDescent="0.2">
      <c r="A60" s="23" t="s">
        <v>128</v>
      </c>
      <c r="B60" s="23">
        <f t="shared" si="1"/>
        <v>1</v>
      </c>
      <c r="J60" t="str">
        <f t="shared" si="2"/>
        <v/>
      </c>
      <c r="K60" t="str">
        <f t="shared" si="3"/>
        <v/>
      </c>
      <c r="L60">
        <f>IFERROR(COUNTIF(Database!F:F,N60),"")</f>
        <v>0</v>
      </c>
    </row>
    <row r="61" spans="1:12" x14ac:dyDescent="0.2">
      <c r="A61" s="23" t="s">
        <v>129</v>
      </c>
      <c r="B61" s="23">
        <f t="shared" si="1"/>
        <v>1</v>
      </c>
      <c r="J61" t="str">
        <f t="shared" si="2"/>
        <v/>
      </c>
      <c r="K61" t="str">
        <f t="shared" si="3"/>
        <v/>
      </c>
      <c r="L61">
        <f>IFERROR(COUNTIF(Database!F:F,N61),"")</f>
        <v>0</v>
      </c>
    </row>
    <row r="62" spans="1:12" x14ac:dyDescent="0.2">
      <c r="A62" s="23" t="s">
        <v>130</v>
      </c>
      <c r="B62" s="23">
        <f t="shared" si="1"/>
        <v>1</v>
      </c>
      <c r="J62" t="str">
        <f t="shared" si="2"/>
        <v/>
      </c>
      <c r="K62" t="str">
        <f t="shared" si="3"/>
        <v/>
      </c>
      <c r="L62">
        <f>IFERROR(COUNTIF(Database!F:F,N62),"")</f>
        <v>0</v>
      </c>
    </row>
    <row r="63" spans="1:12" x14ac:dyDescent="0.2">
      <c r="A63" s="23" t="s">
        <v>131</v>
      </c>
      <c r="B63" s="23">
        <f t="shared" si="1"/>
        <v>1</v>
      </c>
      <c r="J63" t="str">
        <f t="shared" si="2"/>
        <v/>
      </c>
      <c r="K63" t="str">
        <f t="shared" si="3"/>
        <v/>
      </c>
      <c r="L63">
        <f>IFERROR(COUNTIF(Database!F:F,N63),"")</f>
        <v>0</v>
      </c>
    </row>
    <row r="64" spans="1:12" x14ac:dyDescent="0.2">
      <c r="A64" s="23" t="s">
        <v>132</v>
      </c>
      <c r="B64" s="23">
        <f t="shared" si="1"/>
        <v>1</v>
      </c>
      <c r="J64" t="str">
        <f t="shared" si="2"/>
        <v/>
      </c>
      <c r="K64" t="str">
        <f t="shared" si="3"/>
        <v/>
      </c>
      <c r="L64">
        <f>IFERROR(COUNTIF(Database!F:F,N64),"")</f>
        <v>0</v>
      </c>
    </row>
    <row r="65" spans="1:12" x14ac:dyDescent="0.2">
      <c r="A65" s="23" t="s">
        <v>133</v>
      </c>
      <c r="B65" s="23">
        <f t="shared" si="1"/>
        <v>1</v>
      </c>
      <c r="J65" t="str">
        <f t="shared" si="2"/>
        <v/>
      </c>
      <c r="K65" t="str">
        <f t="shared" si="3"/>
        <v/>
      </c>
      <c r="L65">
        <f>IFERROR(COUNTIF(Database!F:F,N65),"")</f>
        <v>0</v>
      </c>
    </row>
    <row r="66" spans="1:12" x14ac:dyDescent="0.2">
      <c r="A66" s="23" t="s">
        <v>134</v>
      </c>
      <c r="B66" s="23">
        <f t="shared" si="1"/>
        <v>1</v>
      </c>
      <c r="J66" t="str">
        <f t="shared" si="2"/>
        <v/>
      </c>
      <c r="K66" t="str">
        <f t="shared" si="3"/>
        <v/>
      </c>
      <c r="L66">
        <f>IFERROR(COUNTIF(Database!F:F,N66),"")</f>
        <v>0</v>
      </c>
    </row>
    <row r="67" spans="1:12" x14ac:dyDescent="0.2">
      <c r="A67" s="23" t="s">
        <v>136</v>
      </c>
      <c r="B67" s="23">
        <f t="shared" si="1"/>
        <v>1</v>
      </c>
      <c r="J67" t="str">
        <f t="shared" si="2"/>
        <v/>
      </c>
      <c r="K67" t="str">
        <f t="shared" si="3"/>
        <v/>
      </c>
      <c r="L67">
        <f>IFERROR(COUNTIF(Database!F:F,N67),"")</f>
        <v>0</v>
      </c>
    </row>
    <row r="68" spans="1:12" x14ac:dyDescent="0.2">
      <c r="A68" s="23" t="s">
        <v>34</v>
      </c>
      <c r="B68" s="23">
        <f t="shared" si="1"/>
        <v>1</v>
      </c>
      <c r="J68" t="str">
        <f t="shared" si="2"/>
        <v/>
      </c>
      <c r="K68" t="str">
        <f t="shared" ref="K68:K81" si="4">IFERROR(VLOOKUP(H68,S:V,2,0),"")</f>
        <v/>
      </c>
      <c r="L68">
        <f>IFERROR(COUNTIF(Database!F:F,N68),"")</f>
        <v>0</v>
      </c>
    </row>
    <row r="69" spans="1:12" x14ac:dyDescent="0.2">
      <c r="A69" s="23" t="s">
        <v>137</v>
      </c>
      <c r="B69" s="23">
        <f t="shared" ref="B69:B132" si="5">IF(OR(A69="(blank)",A69=""),"",1)</f>
        <v>1</v>
      </c>
      <c r="J69" t="str">
        <f t="shared" ref="J69:J84" si="6">IFERROR(VLOOKUP(H69,N:O,2,0),"")</f>
        <v/>
      </c>
      <c r="K69" t="str">
        <f t="shared" si="4"/>
        <v/>
      </c>
      <c r="L69">
        <f>IFERROR(COUNTIF(Database!F:F,N69),"")</f>
        <v>0</v>
      </c>
    </row>
    <row r="70" spans="1:12" x14ac:dyDescent="0.2">
      <c r="A70" s="23" t="s">
        <v>138</v>
      </c>
      <c r="B70" s="23">
        <f t="shared" si="5"/>
        <v>1</v>
      </c>
      <c r="J70" t="str">
        <f t="shared" si="6"/>
        <v/>
      </c>
      <c r="K70" t="str">
        <f t="shared" si="4"/>
        <v/>
      </c>
      <c r="L70">
        <f>IFERROR(COUNTIF(Database!F:F,N70),"")</f>
        <v>0</v>
      </c>
    </row>
    <row r="71" spans="1:12" x14ac:dyDescent="0.2">
      <c r="A71" s="23" t="s">
        <v>139</v>
      </c>
      <c r="B71" s="23">
        <f t="shared" si="5"/>
        <v>1</v>
      </c>
      <c r="J71" t="str">
        <f t="shared" si="6"/>
        <v/>
      </c>
      <c r="K71" t="str">
        <f t="shared" si="4"/>
        <v/>
      </c>
      <c r="L71">
        <f>IFERROR(COUNTIF(Database!F:F,N71),"")</f>
        <v>0</v>
      </c>
    </row>
    <row r="72" spans="1:12" x14ac:dyDescent="0.2">
      <c r="A72" s="23" t="s">
        <v>140</v>
      </c>
      <c r="B72" s="23">
        <f t="shared" si="5"/>
        <v>1</v>
      </c>
      <c r="J72" t="str">
        <f t="shared" si="6"/>
        <v/>
      </c>
      <c r="K72" t="str">
        <f t="shared" si="4"/>
        <v/>
      </c>
      <c r="L72">
        <f>IFERROR(COUNTIF(Database!F:F,N72),"")</f>
        <v>0</v>
      </c>
    </row>
    <row r="73" spans="1:12" x14ac:dyDescent="0.2">
      <c r="A73" s="23" t="s">
        <v>141</v>
      </c>
      <c r="B73" s="23">
        <f t="shared" si="5"/>
        <v>1</v>
      </c>
      <c r="J73" t="str">
        <f t="shared" si="6"/>
        <v/>
      </c>
      <c r="K73" t="str">
        <f t="shared" si="4"/>
        <v/>
      </c>
      <c r="L73">
        <f>IFERROR(COUNTIF(Database!F:F,N73),"")</f>
        <v>0</v>
      </c>
    </row>
    <row r="74" spans="1:12" x14ac:dyDescent="0.2">
      <c r="A74" s="23" t="s">
        <v>142</v>
      </c>
      <c r="B74" s="23">
        <f t="shared" si="5"/>
        <v>1</v>
      </c>
      <c r="J74" t="str">
        <f t="shared" si="6"/>
        <v/>
      </c>
      <c r="K74" t="str">
        <f t="shared" si="4"/>
        <v/>
      </c>
      <c r="L74">
        <f>IFERROR(COUNTIF(Database!F:F,N74),"")</f>
        <v>0</v>
      </c>
    </row>
    <row r="75" spans="1:12" x14ac:dyDescent="0.2">
      <c r="A75" s="23" t="s">
        <v>143</v>
      </c>
      <c r="B75" s="23">
        <f t="shared" si="5"/>
        <v>1</v>
      </c>
      <c r="J75" t="str">
        <f t="shared" si="6"/>
        <v/>
      </c>
      <c r="K75" t="str">
        <f t="shared" si="4"/>
        <v/>
      </c>
      <c r="L75">
        <f>IFERROR(COUNTIF(Database!F:F,N75),"")</f>
        <v>0</v>
      </c>
    </row>
    <row r="76" spans="1:12" x14ac:dyDescent="0.2">
      <c r="A76" s="23" t="s">
        <v>144</v>
      </c>
      <c r="B76" s="23">
        <f t="shared" si="5"/>
        <v>1</v>
      </c>
      <c r="J76" t="str">
        <f t="shared" si="6"/>
        <v/>
      </c>
      <c r="K76" t="str">
        <f t="shared" si="4"/>
        <v/>
      </c>
      <c r="L76">
        <f>IFERROR(COUNTIF(Database!F:F,N76),"")</f>
        <v>0</v>
      </c>
    </row>
    <row r="77" spans="1:12" x14ac:dyDescent="0.2">
      <c r="A77" s="23" t="s">
        <v>145</v>
      </c>
      <c r="B77" s="23">
        <f t="shared" si="5"/>
        <v>1</v>
      </c>
      <c r="J77" t="str">
        <f t="shared" si="6"/>
        <v/>
      </c>
      <c r="K77" t="str">
        <f t="shared" si="4"/>
        <v/>
      </c>
      <c r="L77">
        <f>IFERROR(COUNTIF(Database!F:F,N77),"")</f>
        <v>0</v>
      </c>
    </row>
    <row r="78" spans="1:12" x14ac:dyDescent="0.2">
      <c r="A78" s="23" t="s">
        <v>146</v>
      </c>
      <c r="B78" s="23">
        <f t="shared" si="5"/>
        <v>1</v>
      </c>
      <c r="J78" t="str">
        <f t="shared" si="6"/>
        <v/>
      </c>
      <c r="K78" t="str">
        <f t="shared" si="4"/>
        <v/>
      </c>
      <c r="L78">
        <f>IFERROR(COUNTIF(Database!F:F,N78),"")</f>
        <v>0</v>
      </c>
    </row>
    <row r="79" spans="1:12" x14ac:dyDescent="0.2">
      <c r="A79" s="23" t="s">
        <v>35</v>
      </c>
      <c r="B79" s="23">
        <f t="shared" si="5"/>
        <v>1</v>
      </c>
      <c r="J79" t="str">
        <f t="shared" si="6"/>
        <v/>
      </c>
      <c r="K79" t="str">
        <f t="shared" si="4"/>
        <v/>
      </c>
      <c r="L79">
        <f>IFERROR(COUNTIF(Database!F:F,N79),"")</f>
        <v>0</v>
      </c>
    </row>
    <row r="80" spans="1:12" x14ac:dyDescent="0.2">
      <c r="A80" s="23" t="s">
        <v>147</v>
      </c>
      <c r="B80" s="23">
        <f t="shared" si="5"/>
        <v>1</v>
      </c>
      <c r="J80" t="str">
        <f t="shared" si="6"/>
        <v/>
      </c>
      <c r="K80" t="str">
        <f t="shared" si="4"/>
        <v/>
      </c>
      <c r="L80">
        <f>IFERROR(COUNTIF(Database!F:F,N80),"")</f>
        <v>0</v>
      </c>
    </row>
    <row r="81" spans="1:12" x14ac:dyDescent="0.2">
      <c r="A81" s="23" t="s">
        <v>150</v>
      </c>
      <c r="B81" s="23">
        <f t="shared" si="5"/>
        <v>1</v>
      </c>
      <c r="J81" t="str">
        <f t="shared" si="6"/>
        <v/>
      </c>
      <c r="K81" t="str">
        <f t="shared" si="4"/>
        <v/>
      </c>
      <c r="L81">
        <f>IFERROR(COUNTIF(Database!F:F,N81),"")</f>
        <v>0</v>
      </c>
    </row>
    <row r="82" spans="1:12" x14ac:dyDescent="0.2">
      <c r="A82" s="23" t="s">
        <v>151</v>
      </c>
      <c r="B82" s="23">
        <f t="shared" si="5"/>
        <v>1</v>
      </c>
      <c r="J82" t="str">
        <f t="shared" si="6"/>
        <v/>
      </c>
      <c r="L82">
        <f>IFERROR(COUNTIF(Database!F:F,N82),"")</f>
        <v>0</v>
      </c>
    </row>
    <row r="83" spans="1:12" x14ac:dyDescent="0.2">
      <c r="A83" s="23" t="s">
        <v>152</v>
      </c>
      <c r="B83" s="23">
        <f t="shared" si="5"/>
        <v>1</v>
      </c>
      <c r="J83" t="str">
        <f t="shared" si="6"/>
        <v/>
      </c>
      <c r="L83">
        <f>IFERROR(COUNTIF(Database!F:F,N83),"")</f>
        <v>0</v>
      </c>
    </row>
    <row r="84" spans="1:12" x14ac:dyDescent="0.2">
      <c r="A84" s="23" t="s">
        <v>153</v>
      </c>
      <c r="B84" s="23">
        <f t="shared" si="5"/>
        <v>1</v>
      </c>
      <c r="J84" t="str">
        <f t="shared" si="6"/>
        <v/>
      </c>
      <c r="L84">
        <f>IFERROR(COUNTIF(Database!F:F,N84),"")</f>
        <v>0</v>
      </c>
    </row>
    <row r="85" spans="1:12" x14ac:dyDescent="0.2">
      <c r="A85" s="23" t="s">
        <v>155</v>
      </c>
      <c r="B85" s="23">
        <f t="shared" si="5"/>
        <v>1</v>
      </c>
    </row>
    <row r="86" spans="1:12" x14ac:dyDescent="0.2">
      <c r="A86" s="23" t="s">
        <v>156</v>
      </c>
      <c r="B86" s="23">
        <f t="shared" si="5"/>
        <v>1</v>
      </c>
    </row>
    <row r="87" spans="1:12" x14ac:dyDescent="0.2">
      <c r="A87" s="23" t="s">
        <v>36</v>
      </c>
      <c r="B87" s="23">
        <f t="shared" si="5"/>
        <v>1</v>
      </c>
    </row>
    <row r="88" spans="1:12" x14ac:dyDescent="0.2">
      <c r="A88" s="23" t="s">
        <v>157</v>
      </c>
      <c r="B88" s="23">
        <f t="shared" si="5"/>
        <v>1</v>
      </c>
    </row>
    <row r="89" spans="1:12" x14ac:dyDescent="0.2">
      <c r="A89" s="23" t="s">
        <v>158</v>
      </c>
      <c r="B89" s="23">
        <f t="shared" si="5"/>
        <v>1</v>
      </c>
    </row>
    <row r="90" spans="1:12" x14ac:dyDescent="0.2">
      <c r="A90" s="23" t="s">
        <v>159</v>
      </c>
      <c r="B90" s="23">
        <f t="shared" si="5"/>
        <v>1</v>
      </c>
    </row>
    <row r="91" spans="1:12" x14ac:dyDescent="0.2">
      <c r="A91" s="23" t="s">
        <v>160</v>
      </c>
      <c r="B91" s="23">
        <f t="shared" si="5"/>
        <v>1</v>
      </c>
    </row>
    <row r="92" spans="1:12" x14ac:dyDescent="0.2">
      <c r="A92" s="23" t="s">
        <v>161</v>
      </c>
      <c r="B92" s="23">
        <f t="shared" si="5"/>
        <v>1</v>
      </c>
    </row>
    <row r="93" spans="1:12" x14ac:dyDescent="0.2">
      <c r="A93" s="23" t="s">
        <v>162</v>
      </c>
      <c r="B93" s="23">
        <f t="shared" si="5"/>
        <v>1</v>
      </c>
    </row>
    <row r="94" spans="1:12" x14ac:dyDescent="0.2">
      <c r="A94" s="23" t="s">
        <v>164</v>
      </c>
      <c r="B94" s="23">
        <f t="shared" si="5"/>
        <v>1</v>
      </c>
    </row>
    <row r="95" spans="1:12" x14ac:dyDescent="0.2">
      <c r="A95" s="23" t="s">
        <v>165</v>
      </c>
      <c r="B95" s="23">
        <f t="shared" si="5"/>
        <v>1</v>
      </c>
    </row>
    <row r="96" spans="1:12" x14ac:dyDescent="0.2">
      <c r="A96" s="23" t="s">
        <v>166</v>
      </c>
      <c r="B96" s="23">
        <f t="shared" si="5"/>
        <v>1</v>
      </c>
    </row>
    <row r="97" spans="2:2" x14ac:dyDescent="0.2">
      <c r="B97" s="23" t="str">
        <f t="shared" si="5"/>
        <v/>
      </c>
    </row>
    <row r="98" spans="2:2" x14ac:dyDescent="0.2">
      <c r="B98" s="23" t="str">
        <f t="shared" si="5"/>
        <v/>
      </c>
    </row>
    <row r="99" spans="2:2" x14ac:dyDescent="0.2">
      <c r="B99" s="23" t="str">
        <f t="shared" si="5"/>
        <v/>
      </c>
    </row>
    <row r="100" spans="2:2" x14ac:dyDescent="0.2">
      <c r="B100" s="23" t="str">
        <f t="shared" si="5"/>
        <v/>
      </c>
    </row>
    <row r="101" spans="2:2" x14ac:dyDescent="0.2">
      <c r="B101" s="23" t="str">
        <f t="shared" si="5"/>
        <v/>
      </c>
    </row>
    <row r="102" spans="2:2" x14ac:dyDescent="0.2">
      <c r="B102" s="23" t="str">
        <f t="shared" si="5"/>
        <v/>
      </c>
    </row>
    <row r="103" spans="2:2" x14ac:dyDescent="0.2">
      <c r="B103" s="23" t="str">
        <f t="shared" si="5"/>
        <v/>
      </c>
    </row>
    <row r="104" spans="2:2" x14ac:dyDescent="0.2">
      <c r="B104" s="23" t="str">
        <f t="shared" si="5"/>
        <v/>
      </c>
    </row>
    <row r="105" spans="2:2" x14ac:dyDescent="0.2">
      <c r="B105" s="23" t="str">
        <f t="shared" si="5"/>
        <v/>
      </c>
    </row>
    <row r="106" spans="2:2" x14ac:dyDescent="0.2">
      <c r="B106" s="23" t="str">
        <f t="shared" si="5"/>
        <v/>
      </c>
    </row>
    <row r="107" spans="2:2" x14ac:dyDescent="0.2">
      <c r="B107" s="23" t="str">
        <f t="shared" si="5"/>
        <v/>
      </c>
    </row>
    <row r="108" spans="2:2" x14ac:dyDescent="0.2">
      <c r="B108" s="23" t="str">
        <f t="shared" si="5"/>
        <v/>
      </c>
    </row>
    <row r="109" spans="2:2" x14ac:dyDescent="0.2">
      <c r="B109" s="23" t="str">
        <f t="shared" si="5"/>
        <v/>
      </c>
    </row>
    <row r="110" spans="2:2" x14ac:dyDescent="0.2">
      <c r="B110" s="23" t="str">
        <f t="shared" si="5"/>
        <v/>
      </c>
    </row>
    <row r="111" spans="2:2" x14ac:dyDescent="0.2">
      <c r="B111" s="23" t="str">
        <f t="shared" si="5"/>
        <v/>
      </c>
    </row>
    <row r="112" spans="2:2" x14ac:dyDescent="0.2">
      <c r="B112" s="23" t="str">
        <f t="shared" si="5"/>
        <v/>
      </c>
    </row>
    <row r="113" spans="2:2" x14ac:dyDescent="0.2">
      <c r="B113" s="23" t="str">
        <f t="shared" si="5"/>
        <v/>
      </c>
    </row>
    <row r="114" spans="2:2" x14ac:dyDescent="0.2">
      <c r="B114" s="23" t="str">
        <f t="shared" si="5"/>
        <v/>
      </c>
    </row>
    <row r="115" spans="2:2" x14ac:dyDescent="0.2">
      <c r="B115" s="23" t="str">
        <f t="shared" si="5"/>
        <v/>
      </c>
    </row>
    <row r="116" spans="2:2" x14ac:dyDescent="0.2">
      <c r="B116" s="23" t="str">
        <f t="shared" si="5"/>
        <v/>
      </c>
    </row>
    <row r="117" spans="2:2" x14ac:dyDescent="0.2">
      <c r="B117" s="23" t="str">
        <f t="shared" si="5"/>
        <v/>
      </c>
    </row>
    <row r="118" spans="2:2" x14ac:dyDescent="0.2">
      <c r="B118" s="23" t="str">
        <f t="shared" si="5"/>
        <v/>
      </c>
    </row>
    <row r="119" spans="2:2" x14ac:dyDescent="0.2">
      <c r="B119" s="23" t="str">
        <f t="shared" si="5"/>
        <v/>
      </c>
    </row>
    <row r="120" spans="2:2" x14ac:dyDescent="0.2">
      <c r="B120" s="23" t="str">
        <f t="shared" si="5"/>
        <v/>
      </c>
    </row>
    <row r="121" spans="2:2" x14ac:dyDescent="0.2">
      <c r="B121" s="23" t="str">
        <f t="shared" si="5"/>
        <v/>
      </c>
    </row>
    <row r="122" spans="2:2" x14ac:dyDescent="0.2">
      <c r="B122" s="23" t="str">
        <f t="shared" si="5"/>
        <v/>
      </c>
    </row>
    <row r="123" spans="2:2" x14ac:dyDescent="0.2">
      <c r="B123" s="23" t="str">
        <f t="shared" si="5"/>
        <v/>
      </c>
    </row>
    <row r="124" spans="2:2" x14ac:dyDescent="0.2">
      <c r="B124" s="23" t="str">
        <f t="shared" si="5"/>
        <v/>
      </c>
    </row>
    <row r="125" spans="2:2" x14ac:dyDescent="0.2">
      <c r="B125" s="23" t="str">
        <f t="shared" si="5"/>
        <v/>
      </c>
    </row>
    <row r="126" spans="2:2" x14ac:dyDescent="0.2">
      <c r="B126" s="23" t="str">
        <f t="shared" si="5"/>
        <v/>
      </c>
    </row>
    <row r="127" spans="2:2" x14ac:dyDescent="0.2">
      <c r="B127" s="23" t="str">
        <f t="shared" si="5"/>
        <v/>
      </c>
    </row>
    <row r="128" spans="2:2" x14ac:dyDescent="0.2">
      <c r="B128" s="23" t="str">
        <f t="shared" si="5"/>
        <v/>
      </c>
    </row>
    <row r="129" spans="2:2" x14ac:dyDescent="0.2">
      <c r="B129" s="23" t="str">
        <f t="shared" si="5"/>
        <v/>
      </c>
    </row>
    <row r="130" spans="2:2" x14ac:dyDescent="0.2">
      <c r="B130" s="23" t="str">
        <f t="shared" si="5"/>
        <v/>
      </c>
    </row>
    <row r="131" spans="2:2" x14ac:dyDescent="0.2">
      <c r="B131" s="23" t="str">
        <f t="shared" si="5"/>
        <v/>
      </c>
    </row>
    <row r="132" spans="2:2" x14ac:dyDescent="0.2">
      <c r="B132" s="23" t="str">
        <f t="shared" si="5"/>
        <v/>
      </c>
    </row>
    <row r="133" spans="2:2" x14ac:dyDescent="0.2">
      <c r="B133" s="23" t="str">
        <f t="shared" ref="B133:B196" si="7">IF(OR(A133="(blank)",A133=""),"",1)</f>
        <v/>
      </c>
    </row>
    <row r="134" spans="2:2" x14ac:dyDescent="0.2">
      <c r="B134" s="23" t="str">
        <f t="shared" si="7"/>
        <v/>
      </c>
    </row>
    <row r="135" spans="2:2" x14ac:dyDescent="0.2">
      <c r="B135" s="23" t="str">
        <f t="shared" si="7"/>
        <v/>
      </c>
    </row>
    <row r="136" spans="2:2" x14ac:dyDescent="0.2">
      <c r="B136" s="23" t="str">
        <f t="shared" si="7"/>
        <v/>
      </c>
    </row>
    <row r="137" spans="2:2" x14ac:dyDescent="0.2">
      <c r="B137" s="23" t="str">
        <f t="shared" si="7"/>
        <v/>
      </c>
    </row>
    <row r="138" spans="2:2" x14ac:dyDescent="0.2">
      <c r="B138" s="23" t="str">
        <f t="shared" si="7"/>
        <v/>
      </c>
    </row>
    <row r="139" spans="2:2" x14ac:dyDescent="0.2">
      <c r="B139" s="23" t="str">
        <f t="shared" si="7"/>
        <v/>
      </c>
    </row>
    <row r="140" spans="2:2" x14ac:dyDescent="0.2">
      <c r="B140" s="23" t="str">
        <f t="shared" si="7"/>
        <v/>
      </c>
    </row>
    <row r="141" spans="2:2" x14ac:dyDescent="0.2">
      <c r="B141" s="23" t="str">
        <f t="shared" si="7"/>
        <v/>
      </c>
    </row>
    <row r="142" spans="2:2" x14ac:dyDescent="0.2">
      <c r="B142" s="23" t="str">
        <f t="shared" si="7"/>
        <v/>
      </c>
    </row>
    <row r="143" spans="2:2" x14ac:dyDescent="0.2">
      <c r="B143" s="23" t="str">
        <f t="shared" si="7"/>
        <v/>
      </c>
    </row>
    <row r="144" spans="2:2" x14ac:dyDescent="0.2">
      <c r="B144" s="23" t="str">
        <f t="shared" si="7"/>
        <v/>
      </c>
    </row>
    <row r="145" spans="2:2" x14ac:dyDescent="0.2">
      <c r="B145" s="23" t="str">
        <f t="shared" si="7"/>
        <v/>
      </c>
    </row>
    <row r="146" spans="2:2" x14ac:dyDescent="0.2">
      <c r="B146" s="23" t="str">
        <f t="shared" si="7"/>
        <v/>
      </c>
    </row>
    <row r="147" spans="2:2" x14ac:dyDescent="0.2">
      <c r="B147" s="23" t="str">
        <f t="shared" si="7"/>
        <v/>
      </c>
    </row>
    <row r="148" spans="2:2" x14ac:dyDescent="0.2">
      <c r="B148" s="23" t="str">
        <f t="shared" si="7"/>
        <v/>
      </c>
    </row>
    <row r="149" spans="2:2" x14ac:dyDescent="0.2">
      <c r="B149" s="23" t="str">
        <f t="shared" si="7"/>
        <v/>
      </c>
    </row>
    <row r="150" spans="2:2" x14ac:dyDescent="0.2">
      <c r="B150" s="23" t="str">
        <f t="shared" si="7"/>
        <v/>
      </c>
    </row>
    <row r="151" spans="2:2" x14ac:dyDescent="0.2">
      <c r="B151" s="23" t="str">
        <f t="shared" si="7"/>
        <v/>
      </c>
    </row>
    <row r="152" spans="2:2" x14ac:dyDescent="0.2">
      <c r="B152" s="23" t="str">
        <f t="shared" si="7"/>
        <v/>
      </c>
    </row>
    <row r="153" spans="2:2" x14ac:dyDescent="0.2">
      <c r="B153" s="23" t="str">
        <f t="shared" si="7"/>
        <v/>
      </c>
    </row>
    <row r="154" spans="2:2" x14ac:dyDescent="0.2">
      <c r="B154" s="23" t="str">
        <f t="shared" si="7"/>
        <v/>
      </c>
    </row>
    <row r="155" spans="2:2" x14ac:dyDescent="0.2">
      <c r="B155" s="23" t="str">
        <f t="shared" si="7"/>
        <v/>
      </c>
    </row>
    <row r="156" spans="2:2" x14ac:dyDescent="0.2">
      <c r="B156" s="23" t="str">
        <f t="shared" si="7"/>
        <v/>
      </c>
    </row>
    <row r="157" spans="2:2" x14ac:dyDescent="0.2">
      <c r="B157" s="23" t="str">
        <f t="shared" si="7"/>
        <v/>
      </c>
    </row>
    <row r="158" spans="2:2" x14ac:dyDescent="0.2">
      <c r="B158" s="23" t="str">
        <f t="shared" si="7"/>
        <v/>
      </c>
    </row>
    <row r="159" spans="2:2" x14ac:dyDescent="0.2">
      <c r="B159" s="23" t="str">
        <f t="shared" si="7"/>
        <v/>
      </c>
    </row>
    <row r="160" spans="2:2" x14ac:dyDescent="0.2">
      <c r="B160" s="23" t="str">
        <f t="shared" si="7"/>
        <v/>
      </c>
    </row>
    <row r="161" spans="2:2" x14ac:dyDescent="0.2">
      <c r="B161" s="23" t="str">
        <f t="shared" si="7"/>
        <v/>
      </c>
    </row>
    <row r="162" spans="2:2" x14ac:dyDescent="0.2">
      <c r="B162" s="23" t="str">
        <f t="shared" si="7"/>
        <v/>
      </c>
    </row>
    <row r="163" spans="2:2" x14ac:dyDescent="0.2">
      <c r="B163" s="23" t="str">
        <f t="shared" si="7"/>
        <v/>
      </c>
    </row>
    <row r="164" spans="2:2" x14ac:dyDescent="0.2">
      <c r="B164" s="23" t="str">
        <f t="shared" si="7"/>
        <v/>
      </c>
    </row>
    <row r="165" spans="2:2" x14ac:dyDescent="0.2">
      <c r="B165" s="23" t="str">
        <f t="shared" si="7"/>
        <v/>
      </c>
    </row>
    <row r="166" spans="2:2" x14ac:dyDescent="0.2">
      <c r="B166" s="23" t="str">
        <f t="shared" si="7"/>
        <v/>
      </c>
    </row>
    <row r="167" spans="2:2" x14ac:dyDescent="0.2">
      <c r="B167" s="23" t="str">
        <f t="shared" si="7"/>
        <v/>
      </c>
    </row>
    <row r="168" spans="2:2" x14ac:dyDescent="0.2">
      <c r="B168" s="23" t="str">
        <f t="shared" si="7"/>
        <v/>
      </c>
    </row>
    <row r="169" spans="2:2" x14ac:dyDescent="0.2">
      <c r="B169" s="23" t="str">
        <f t="shared" si="7"/>
        <v/>
      </c>
    </row>
    <row r="170" spans="2:2" x14ac:dyDescent="0.2">
      <c r="B170" s="23" t="str">
        <f t="shared" si="7"/>
        <v/>
      </c>
    </row>
    <row r="171" spans="2:2" x14ac:dyDescent="0.2">
      <c r="B171" s="23" t="str">
        <f t="shared" si="7"/>
        <v/>
      </c>
    </row>
    <row r="172" spans="2:2" x14ac:dyDescent="0.2">
      <c r="B172" s="23" t="str">
        <f t="shared" si="7"/>
        <v/>
      </c>
    </row>
    <row r="173" spans="2:2" x14ac:dyDescent="0.2">
      <c r="B173" s="23" t="str">
        <f t="shared" si="7"/>
        <v/>
      </c>
    </row>
    <row r="174" spans="2:2" x14ac:dyDescent="0.2">
      <c r="B174" s="23" t="str">
        <f t="shared" si="7"/>
        <v/>
      </c>
    </row>
    <row r="175" spans="2:2" x14ac:dyDescent="0.2">
      <c r="B175" s="23" t="str">
        <f t="shared" si="7"/>
        <v/>
      </c>
    </row>
    <row r="176" spans="2:2" x14ac:dyDescent="0.2">
      <c r="B176" s="23" t="str">
        <f t="shared" si="7"/>
        <v/>
      </c>
    </row>
    <row r="177" spans="2:2" x14ac:dyDescent="0.2">
      <c r="B177" s="23" t="str">
        <f t="shared" si="7"/>
        <v/>
      </c>
    </row>
    <row r="178" spans="2:2" x14ac:dyDescent="0.2">
      <c r="B178" s="23" t="str">
        <f t="shared" si="7"/>
        <v/>
      </c>
    </row>
    <row r="179" spans="2:2" x14ac:dyDescent="0.2">
      <c r="B179" s="23" t="str">
        <f t="shared" si="7"/>
        <v/>
      </c>
    </row>
    <row r="180" spans="2:2" x14ac:dyDescent="0.2">
      <c r="B180" s="23" t="str">
        <f t="shared" si="7"/>
        <v/>
      </c>
    </row>
    <row r="181" spans="2:2" x14ac:dyDescent="0.2">
      <c r="B181" s="23" t="str">
        <f t="shared" si="7"/>
        <v/>
      </c>
    </row>
    <row r="182" spans="2:2" x14ac:dyDescent="0.2">
      <c r="B182" s="23" t="str">
        <f t="shared" si="7"/>
        <v/>
      </c>
    </row>
    <row r="183" spans="2:2" x14ac:dyDescent="0.2">
      <c r="B183" s="23" t="str">
        <f t="shared" si="7"/>
        <v/>
      </c>
    </row>
    <row r="184" spans="2:2" x14ac:dyDescent="0.2">
      <c r="B184" s="23" t="str">
        <f t="shared" si="7"/>
        <v/>
      </c>
    </row>
    <row r="185" spans="2:2" x14ac:dyDescent="0.2">
      <c r="B185" s="23" t="str">
        <f t="shared" si="7"/>
        <v/>
      </c>
    </row>
    <row r="186" spans="2:2" x14ac:dyDescent="0.2">
      <c r="B186" s="23" t="str">
        <f t="shared" si="7"/>
        <v/>
      </c>
    </row>
    <row r="187" spans="2:2" x14ac:dyDescent="0.2">
      <c r="B187" s="23" t="str">
        <f t="shared" si="7"/>
        <v/>
      </c>
    </row>
    <row r="188" spans="2:2" x14ac:dyDescent="0.2">
      <c r="B188" s="23" t="str">
        <f t="shared" si="7"/>
        <v/>
      </c>
    </row>
    <row r="189" spans="2:2" x14ac:dyDescent="0.2">
      <c r="B189" s="23" t="str">
        <f t="shared" si="7"/>
        <v/>
      </c>
    </row>
    <row r="190" spans="2:2" x14ac:dyDescent="0.2">
      <c r="B190" s="23" t="str">
        <f t="shared" si="7"/>
        <v/>
      </c>
    </row>
    <row r="191" spans="2:2" x14ac:dyDescent="0.2">
      <c r="B191" s="23" t="str">
        <f t="shared" si="7"/>
        <v/>
      </c>
    </row>
    <row r="192" spans="2:2" x14ac:dyDescent="0.2">
      <c r="B192" s="23" t="str">
        <f t="shared" si="7"/>
        <v/>
      </c>
    </row>
    <row r="193" spans="2:2" x14ac:dyDescent="0.2">
      <c r="B193" s="23" t="str">
        <f t="shared" si="7"/>
        <v/>
      </c>
    </row>
    <row r="194" spans="2:2" x14ac:dyDescent="0.2">
      <c r="B194" s="23" t="str">
        <f t="shared" si="7"/>
        <v/>
      </c>
    </row>
    <row r="195" spans="2:2" x14ac:dyDescent="0.2">
      <c r="B195" s="23" t="str">
        <f t="shared" si="7"/>
        <v/>
      </c>
    </row>
    <row r="196" spans="2:2" x14ac:dyDescent="0.2">
      <c r="B196" s="23" t="str">
        <f t="shared" si="7"/>
        <v/>
      </c>
    </row>
    <row r="197" spans="2:2" x14ac:dyDescent="0.2">
      <c r="B197" s="23" t="str">
        <f t="shared" ref="B197:B260" si="8">IF(OR(A197="(blank)",A197=""),"",1)</f>
        <v/>
      </c>
    </row>
    <row r="198" spans="2:2" x14ac:dyDescent="0.2">
      <c r="B198" s="23" t="str">
        <f t="shared" si="8"/>
        <v/>
      </c>
    </row>
    <row r="199" spans="2:2" x14ac:dyDescent="0.2">
      <c r="B199" s="23" t="str">
        <f t="shared" si="8"/>
        <v/>
      </c>
    </row>
    <row r="200" spans="2:2" x14ac:dyDescent="0.2">
      <c r="B200" s="23" t="str">
        <f t="shared" si="8"/>
        <v/>
      </c>
    </row>
    <row r="201" spans="2:2" x14ac:dyDescent="0.2">
      <c r="B201" s="23" t="str">
        <f t="shared" si="8"/>
        <v/>
      </c>
    </row>
    <row r="202" spans="2:2" x14ac:dyDescent="0.2">
      <c r="B202" s="23" t="str">
        <f t="shared" si="8"/>
        <v/>
      </c>
    </row>
    <row r="203" spans="2:2" x14ac:dyDescent="0.2">
      <c r="B203" s="23" t="str">
        <f t="shared" si="8"/>
        <v/>
      </c>
    </row>
    <row r="204" spans="2:2" x14ac:dyDescent="0.2">
      <c r="B204" s="23" t="str">
        <f t="shared" si="8"/>
        <v/>
      </c>
    </row>
    <row r="205" spans="2:2" x14ac:dyDescent="0.2">
      <c r="B205" s="23" t="str">
        <f t="shared" si="8"/>
        <v/>
      </c>
    </row>
    <row r="206" spans="2:2" x14ac:dyDescent="0.2">
      <c r="B206" s="23" t="str">
        <f t="shared" si="8"/>
        <v/>
      </c>
    </row>
    <row r="207" spans="2:2" x14ac:dyDescent="0.2">
      <c r="B207" s="23" t="str">
        <f t="shared" si="8"/>
        <v/>
      </c>
    </row>
    <row r="208" spans="2:2" x14ac:dyDescent="0.2">
      <c r="B208" s="23" t="str">
        <f t="shared" si="8"/>
        <v/>
      </c>
    </row>
    <row r="209" spans="2:2" x14ac:dyDescent="0.2">
      <c r="B209" s="23" t="str">
        <f t="shared" si="8"/>
        <v/>
      </c>
    </row>
    <row r="210" spans="2:2" x14ac:dyDescent="0.2">
      <c r="B210" s="23" t="str">
        <f t="shared" si="8"/>
        <v/>
      </c>
    </row>
    <row r="211" spans="2:2" x14ac:dyDescent="0.2">
      <c r="B211" s="23" t="str">
        <f t="shared" si="8"/>
        <v/>
      </c>
    </row>
    <row r="212" spans="2:2" x14ac:dyDescent="0.2">
      <c r="B212" s="23" t="str">
        <f t="shared" si="8"/>
        <v/>
      </c>
    </row>
    <row r="213" spans="2:2" x14ac:dyDescent="0.2">
      <c r="B213" s="23" t="str">
        <f t="shared" si="8"/>
        <v/>
      </c>
    </row>
    <row r="214" spans="2:2" x14ac:dyDescent="0.2">
      <c r="B214" s="23" t="str">
        <f t="shared" si="8"/>
        <v/>
      </c>
    </row>
    <row r="215" spans="2:2" x14ac:dyDescent="0.2">
      <c r="B215" s="23" t="str">
        <f t="shared" si="8"/>
        <v/>
      </c>
    </row>
    <row r="216" spans="2:2" x14ac:dyDescent="0.2">
      <c r="B216" s="23" t="str">
        <f t="shared" si="8"/>
        <v/>
      </c>
    </row>
    <row r="217" spans="2:2" x14ac:dyDescent="0.2">
      <c r="B217" s="23" t="str">
        <f t="shared" si="8"/>
        <v/>
      </c>
    </row>
    <row r="218" spans="2:2" x14ac:dyDescent="0.2">
      <c r="B218" s="23" t="str">
        <f t="shared" si="8"/>
        <v/>
      </c>
    </row>
    <row r="219" spans="2:2" x14ac:dyDescent="0.2">
      <c r="B219" s="23" t="str">
        <f t="shared" si="8"/>
        <v/>
      </c>
    </row>
    <row r="220" spans="2:2" x14ac:dyDescent="0.2">
      <c r="B220" s="23" t="str">
        <f t="shared" si="8"/>
        <v/>
      </c>
    </row>
    <row r="221" spans="2:2" x14ac:dyDescent="0.2">
      <c r="B221" s="23" t="str">
        <f t="shared" si="8"/>
        <v/>
      </c>
    </row>
    <row r="222" spans="2:2" x14ac:dyDescent="0.2">
      <c r="B222" s="23" t="str">
        <f t="shared" si="8"/>
        <v/>
      </c>
    </row>
    <row r="223" spans="2:2" x14ac:dyDescent="0.2">
      <c r="B223" s="23" t="str">
        <f t="shared" si="8"/>
        <v/>
      </c>
    </row>
    <row r="224" spans="2:2" x14ac:dyDescent="0.2">
      <c r="B224" s="23" t="str">
        <f t="shared" si="8"/>
        <v/>
      </c>
    </row>
    <row r="225" spans="2:2" x14ac:dyDescent="0.2">
      <c r="B225" s="23" t="str">
        <f t="shared" si="8"/>
        <v/>
      </c>
    </row>
    <row r="226" spans="2:2" x14ac:dyDescent="0.2">
      <c r="B226" s="23" t="str">
        <f t="shared" si="8"/>
        <v/>
      </c>
    </row>
    <row r="227" spans="2:2" x14ac:dyDescent="0.2">
      <c r="B227" s="23" t="str">
        <f t="shared" si="8"/>
        <v/>
      </c>
    </row>
    <row r="228" spans="2:2" x14ac:dyDescent="0.2">
      <c r="B228" s="23" t="str">
        <f t="shared" si="8"/>
        <v/>
      </c>
    </row>
    <row r="229" spans="2:2" x14ac:dyDescent="0.2">
      <c r="B229" s="23" t="str">
        <f t="shared" si="8"/>
        <v/>
      </c>
    </row>
    <row r="230" spans="2:2" x14ac:dyDescent="0.2">
      <c r="B230" s="23" t="str">
        <f t="shared" si="8"/>
        <v/>
      </c>
    </row>
    <row r="231" spans="2:2" x14ac:dyDescent="0.2">
      <c r="B231" s="23" t="str">
        <f t="shared" si="8"/>
        <v/>
      </c>
    </row>
    <row r="232" spans="2:2" x14ac:dyDescent="0.2">
      <c r="B232" s="23" t="str">
        <f t="shared" si="8"/>
        <v/>
      </c>
    </row>
    <row r="233" spans="2:2" x14ac:dyDescent="0.2">
      <c r="B233" s="23" t="str">
        <f t="shared" si="8"/>
        <v/>
      </c>
    </row>
    <row r="234" spans="2:2" x14ac:dyDescent="0.2">
      <c r="B234" s="23" t="str">
        <f t="shared" si="8"/>
        <v/>
      </c>
    </row>
    <row r="235" spans="2:2" x14ac:dyDescent="0.2">
      <c r="B235" s="23" t="str">
        <f t="shared" si="8"/>
        <v/>
      </c>
    </row>
    <row r="236" spans="2:2" x14ac:dyDescent="0.2">
      <c r="B236" s="23" t="str">
        <f t="shared" si="8"/>
        <v/>
      </c>
    </row>
    <row r="237" spans="2:2" x14ac:dyDescent="0.2">
      <c r="B237" s="23" t="str">
        <f t="shared" si="8"/>
        <v/>
      </c>
    </row>
    <row r="238" spans="2:2" x14ac:dyDescent="0.2">
      <c r="B238" s="23" t="str">
        <f t="shared" si="8"/>
        <v/>
      </c>
    </row>
    <row r="239" spans="2:2" x14ac:dyDescent="0.2">
      <c r="B239" s="23" t="str">
        <f t="shared" si="8"/>
        <v/>
      </c>
    </row>
    <row r="240" spans="2:2" x14ac:dyDescent="0.2">
      <c r="B240" s="23" t="str">
        <f t="shared" si="8"/>
        <v/>
      </c>
    </row>
    <row r="241" spans="2:2" x14ac:dyDescent="0.2">
      <c r="B241" s="23" t="str">
        <f t="shared" si="8"/>
        <v/>
      </c>
    </row>
    <row r="242" spans="2:2" x14ac:dyDescent="0.2">
      <c r="B242" s="23" t="str">
        <f t="shared" si="8"/>
        <v/>
      </c>
    </row>
    <row r="243" spans="2:2" x14ac:dyDescent="0.2">
      <c r="B243" s="23" t="str">
        <f t="shared" si="8"/>
        <v/>
      </c>
    </row>
    <row r="244" spans="2:2" x14ac:dyDescent="0.2">
      <c r="B244" s="23" t="str">
        <f t="shared" si="8"/>
        <v/>
      </c>
    </row>
    <row r="245" spans="2:2" x14ac:dyDescent="0.2">
      <c r="B245" s="23" t="str">
        <f t="shared" si="8"/>
        <v/>
      </c>
    </row>
    <row r="246" spans="2:2" x14ac:dyDescent="0.2">
      <c r="B246" s="23" t="str">
        <f t="shared" si="8"/>
        <v/>
      </c>
    </row>
    <row r="247" spans="2:2" x14ac:dyDescent="0.2">
      <c r="B247" s="23" t="str">
        <f t="shared" si="8"/>
        <v/>
      </c>
    </row>
    <row r="248" spans="2:2" x14ac:dyDescent="0.2">
      <c r="B248" s="23" t="str">
        <f t="shared" si="8"/>
        <v/>
      </c>
    </row>
    <row r="249" spans="2:2" x14ac:dyDescent="0.2">
      <c r="B249" s="23" t="str">
        <f t="shared" si="8"/>
        <v/>
      </c>
    </row>
    <row r="250" spans="2:2" x14ac:dyDescent="0.2">
      <c r="B250" s="23" t="str">
        <f t="shared" si="8"/>
        <v/>
      </c>
    </row>
    <row r="251" spans="2:2" x14ac:dyDescent="0.2">
      <c r="B251" s="23" t="str">
        <f t="shared" si="8"/>
        <v/>
      </c>
    </row>
    <row r="252" spans="2:2" x14ac:dyDescent="0.2">
      <c r="B252" s="23" t="str">
        <f t="shared" si="8"/>
        <v/>
      </c>
    </row>
    <row r="253" spans="2:2" x14ac:dyDescent="0.2">
      <c r="B253" s="23" t="str">
        <f t="shared" si="8"/>
        <v/>
      </c>
    </row>
    <row r="254" spans="2:2" x14ac:dyDescent="0.2">
      <c r="B254" s="23" t="str">
        <f t="shared" si="8"/>
        <v/>
      </c>
    </row>
    <row r="255" spans="2:2" x14ac:dyDescent="0.2">
      <c r="B255" s="23" t="str">
        <f t="shared" si="8"/>
        <v/>
      </c>
    </row>
    <row r="256" spans="2:2" x14ac:dyDescent="0.2">
      <c r="B256" s="23" t="str">
        <f t="shared" si="8"/>
        <v/>
      </c>
    </row>
    <row r="257" spans="2:2" x14ac:dyDescent="0.2">
      <c r="B257" s="23" t="str">
        <f t="shared" si="8"/>
        <v/>
      </c>
    </row>
    <row r="258" spans="2:2" x14ac:dyDescent="0.2">
      <c r="B258" s="23" t="str">
        <f t="shared" si="8"/>
        <v/>
      </c>
    </row>
    <row r="259" spans="2:2" x14ac:dyDescent="0.2">
      <c r="B259" s="23" t="str">
        <f t="shared" si="8"/>
        <v/>
      </c>
    </row>
    <row r="260" spans="2:2" x14ac:dyDescent="0.2">
      <c r="B260" s="23" t="str">
        <f t="shared" si="8"/>
        <v/>
      </c>
    </row>
    <row r="261" spans="2:2" x14ac:dyDescent="0.2">
      <c r="B261" s="23" t="str">
        <f t="shared" ref="B261:B324" si="9">IF(OR(A261="(blank)",A261=""),"",1)</f>
        <v/>
      </c>
    </row>
    <row r="262" spans="2:2" x14ac:dyDescent="0.2">
      <c r="B262" s="23" t="str">
        <f t="shared" si="9"/>
        <v/>
      </c>
    </row>
    <row r="263" spans="2:2" x14ac:dyDescent="0.2">
      <c r="B263" s="23" t="str">
        <f t="shared" si="9"/>
        <v/>
      </c>
    </row>
    <row r="264" spans="2:2" x14ac:dyDescent="0.2">
      <c r="B264" s="23" t="str">
        <f t="shared" si="9"/>
        <v/>
      </c>
    </row>
    <row r="265" spans="2:2" x14ac:dyDescent="0.2">
      <c r="B265" s="23" t="str">
        <f t="shared" si="9"/>
        <v/>
      </c>
    </row>
    <row r="266" spans="2:2" x14ac:dyDescent="0.2">
      <c r="B266" s="23" t="str">
        <f t="shared" si="9"/>
        <v/>
      </c>
    </row>
    <row r="267" spans="2:2" x14ac:dyDescent="0.2">
      <c r="B267" s="23" t="str">
        <f t="shared" si="9"/>
        <v/>
      </c>
    </row>
    <row r="268" spans="2:2" x14ac:dyDescent="0.2">
      <c r="B268" s="23" t="str">
        <f t="shared" si="9"/>
        <v/>
      </c>
    </row>
    <row r="269" spans="2:2" x14ac:dyDescent="0.2">
      <c r="B269" s="23" t="str">
        <f t="shared" si="9"/>
        <v/>
      </c>
    </row>
    <row r="270" spans="2:2" x14ac:dyDescent="0.2">
      <c r="B270" s="23" t="str">
        <f t="shared" si="9"/>
        <v/>
      </c>
    </row>
    <row r="271" spans="2:2" x14ac:dyDescent="0.2">
      <c r="B271" s="23" t="str">
        <f t="shared" si="9"/>
        <v/>
      </c>
    </row>
    <row r="272" spans="2:2" x14ac:dyDescent="0.2">
      <c r="B272" s="23" t="str">
        <f t="shared" si="9"/>
        <v/>
      </c>
    </row>
    <row r="273" spans="2:2" x14ac:dyDescent="0.2">
      <c r="B273" s="23" t="str">
        <f t="shared" si="9"/>
        <v/>
      </c>
    </row>
    <row r="274" spans="2:2" x14ac:dyDescent="0.2">
      <c r="B274" s="23" t="str">
        <f t="shared" si="9"/>
        <v/>
      </c>
    </row>
    <row r="275" spans="2:2" x14ac:dyDescent="0.2">
      <c r="B275" s="23" t="str">
        <f t="shared" si="9"/>
        <v/>
      </c>
    </row>
    <row r="276" spans="2:2" x14ac:dyDescent="0.2">
      <c r="B276" s="23" t="str">
        <f t="shared" si="9"/>
        <v/>
      </c>
    </row>
    <row r="277" spans="2:2" x14ac:dyDescent="0.2">
      <c r="B277" s="23" t="str">
        <f t="shared" si="9"/>
        <v/>
      </c>
    </row>
    <row r="278" spans="2:2" x14ac:dyDescent="0.2">
      <c r="B278" s="23" t="str">
        <f t="shared" si="9"/>
        <v/>
      </c>
    </row>
    <row r="279" spans="2:2" x14ac:dyDescent="0.2">
      <c r="B279" s="23" t="str">
        <f t="shared" si="9"/>
        <v/>
      </c>
    </row>
    <row r="280" spans="2:2" x14ac:dyDescent="0.2">
      <c r="B280" s="23" t="str">
        <f t="shared" si="9"/>
        <v/>
      </c>
    </row>
    <row r="281" spans="2:2" x14ac:dyDescent="0.2">
      <c r="B281" s="23" t="str">
        <f t="shared" si="9"/>
        <v/>
      </c>
    </row>
    <row r="282" spans="2:2" x14ac:dyDescent="0.2">
      <c r="B282" s="23" t="str">
        <f t="shared" si="9"/>
        <v/>
      </c>
    </row>
    <row r="283" spans="2:2" x14ac:dyDescent="0.2">
      <c r="B283" s="23" t="str">
        <f t="shared" si="9"/>
        <v/>
      </c>
    </row>
    <row r="284" spans="2:2" x14ac:dyDescent="0.2">
      <c r="B284" s="23" t="str">
        <f t="shared" si="9"/>
        <v/>
      </c>
    </row>
    <row r="285" spans="2:2" x14ac:dyDescent="0.2">
      <c r="B285" s="23" t="str">
        <f t="shared" si="9"/>
        <v/>
      </c>
    </row>
    <row r="286" spans="2:2" x14ac:dyDescent="0.2">
      <c r="B286" s="23" t="str">
        <f t="shared" si="9"/>
        <v/>
      </c>
    </row>
    <row r="287" spans="2:2" x14ac:dyDescent="0.2">
      <c r="B287" s="23" t="str">
        <f t="shared" si="9"/>
        <v/>
      </c>
    </row>
    <row r="288" spans="2:2" x14ac:dyDescent="0.2">
      <c r="B288" s="23" t="str">
        <f t="shared" si="9"/>
        <v/>
      </c>
    </row>
    <row r="289" spans="2:2" x14ac:dyDescent="0.2">
      <c r="B289" s="23" t="str">
        <f t="shared" si="9"/>
        <v/>
      </c>
    </row>
    <row r="290" spans="2:2" x14ac:dyDescent="0.2">
      <c r="B290" s="23" t="str">
        <f t="shared" si="9"/>
        <v/>
      </c>
    </row>
    <row r="291" spans="2:2" x14ac:dyDescent="0.2">
      <c r="B291" s="23" t="str">
        <f t="shared" si="9"/>
        <v/>
      </c>
    </row>
    <row r="292" spans="2:2" x14ac:dyDescent="0.2">
      <c r="B292" s="23" t="str">
        <f t="shared" si="9"/>
        <v/>
      </c>
    </row>
    <row r="293" spans="2:2" x14ac:dyDescent="0.2">
      <c r="B293" s="23" t="str">
        <f t="shared" si="9"/>
        <v/>
      </c>
    </row>
    <row r="294" spans="2:2" x14ac:dyDescent="0.2">
      <c r="B294" s="23" t="str">
        <f t="shared" si="9"/>
        <v/>
      </c>
    </row>
    <row r="295" spans="2:2" x14ac:dyDescent="0.2">
      <c r="B295" s="23" t="str">
        <f t="shared" si="9"/>
        <v/>
      </c>
    </row>
    <row r="296" spans="2:2" x14ac:dyDescent="0.2">
      <c r="B296" s="23" t="str">
        <f t="shared" si="9"/>
        <v/>
      </c>
    </row>
    <row r="297" spans="2:2" x14ac:dyDescent="0.2">
      <c r="B297" s="23" t="str">
        <f t="shared" si="9"/>
        <v/>
      </c>
    </row>
    <row r="298" spans="2:2" x14ac:dyDescent="0.2">
      <c r="B298" s="23" t="str">
        <f t="shared" si="9"/>
        <v/>
      </c>
    </row>
    <row r="299" spans="2:2" x14ac:dyDescent="0.2">
      <c r="B299" s="23" t="str">
        <f t="shared" si="9"/>
        <v/>
      </c>
    </row>
    <row r="300" spans="2:2" x14ac:dyDescent="0.2">
      <c r="B300" s="23" t="str">
        <f t="shared" si="9"/>
        <v/>
      </c>
    </row>
    <row r="301" spans="2:2" x14ac:dyDescent="0.2">
      <c r="B301" s="23" t="str">
        <f t="shared" si="9"/>
        <v/>
      </c>
    </row>
    <row r="302" spans="2:2" x14ac:dyDescent="0.2">
      <c r="B302" s="23" t="str">
        <f t="shared" si="9"/>
        <v/>
      </c>
    </row>
    <row r="303" spans="2:2" x14ac:dyDescent="0.2">
      <c r="B303" s="23" t="str">
        <f t="shared" si="9"/>
        <v/>
      </c>
    </row>
    <row r="304" spans="2:2" x14ac:dyDescent="0.2">
      <c r="B304" s="23" t="str">
        <f t="shared" si="9"/>
        <v/>
      </c>
    </row>
    <row r="305" spans="2:2" x14ac:dyDescent="0.2">
      <c r="B305" s="23" t="str">
        <f t="shared" si="9"/>
        <v/>
      </c>
    </row>
    <row r="306" spans="2:2" x14ac:dyDescent="0.2">
      <c r="B306" s="23" t="str">
        <f t="shared" si="9"/>
        <v/>
      </c>
    </row>
    <row r="307" spans="2:2" x14ac:dyDescent="0.2">
      <c r="B307" s="23" t="str">
        <f t="shared" si="9"/>
        <v/>
      </c>
    </row>
    <row r="308" spans="2:2" x14ac:dyDescent="0.2">
      <c r="B308" s="23" t="str">
        <f t="shared" si="9"/>
        <v/>
      </c>
    </row>
    <row r="309" spans="2:2" x14ac:dyDescent="0.2">
      <c r="B309" s="23" t="str">
        <f t="shared" si="9"/>
        <v/>
      </c>
    </row>
    <row r="310" spans="2:2" x14ac:dyDescent="0.2">
      <c r="B310" s="23" t="str">
        <f t="shared" si="9"/>
        <v/>
      </c>
    </row>
    <row r="311" spans="2:2" x14ac:dyDescent="0.2">
      <c r="B311" s="23" t="str">
        <f t="shared" si="9"/>
        <v/>
      </c>
    </row>
    <row r="312" spans="2:2" x14ac:dyDescent="0.2">
      <c r="B312" s="23" t="str">
        <f t="shared" si="9"/>
        <v/>
      </c>
    </row>
    <row r="313" spans="2:2" x14ac:dyDescent="0.2">
      <c r="B313" s="23" t="str">
        <f t="shared" si="9"/>
        <v/>
      </c>
    </row>
    <row r="314" spans="2:2" x14ac:dyDescent="0.2">
      <c r="B314" s="23" t="str">
        <f t="shared" si="9"/>
        <v/>
      </c>
    </row>
    <row r="315" spans="2:2" x14ac:dyDescent="0.2">
      <c r="B315" s="23" t="str">
        <f t="shared" si="9"/>
        <v/>
      </c>
    </row>
    <row r="316" spans="2:2" x14ac:dyDescent="0.2">
      <c r="B316" s="23" t="str">
        <f t="shared" si="9"/>
        <v/>
      </c>
    </row>
    <row r="317" spans="2:2" x14ac:dyDescent="0.2">
      <c r="B317" s="23" t="str">
        <f t="shared" si="9"/>
        <v/>
      </c>
    </row>
    <row r="318" spans="2:2" x14ac:dyDescent="0.2">
      <c r="B318" s="23" t="str">
        <f t="shared" si="9"/>
        <v/>
      </c>
    </row>
    <row r="319" spans="2:2" x14ac:dyDescent="0.2">
      <c r="B319" s="23" t="str">
        <f t="shared" si="9"/>
        <v/>
      </c>
    </row>
    <row r="320" spans="2:2" x14ac:dyDescent="0.2">
      <c r="B320" s="23" t="str">
        <f t="shared" si="9"/>
        <v/>
      </c>
    </row>
    <row r="321" spans="2:2" x14ac:dyDescent="0.2">
      <c r="B321" s="23" t="str">
        <f t="shared" si="9"/>
        <v/>
      </c>
    </row>
    <row r="322" spans="2:2" x14ac:dyDescent="0.2">
      <c r="B322" s="23" t="str">
        <f t="shared" si="9"/>
        <v/>
      </c>
    </row>
    <row r="323" spans="2:2" x14ac:dyDescent="0.2">
      <c r="B323" s="23" t="str">
        <f t="shared" si="9"/>
        <v/>
      </c>
    </row>
    <row r="324" spans="2:2" x14ac:dyDescent="0.2">
      <c r="B324" s="23" t="str">
        <f t="shared" si="9"/>
        <v/>
      </c>
    </row>
    <row r="325" spans="2:2" x14ac:dyDescent="0.2">
      <c r="B325" s="23" t="str">
        <f t="shared" ref="B325:B388" si="10">IF(OR(A325="(blank)",A325=""),"",1)</f>
        <v/>
      </c>
    </row>
    <row r="326" spans="2:2" x14ac:dyDescent="0.2">
      <c r="B326" s="23" t="str">
        <f t="shared" si="10"/>
        <v/>
      </c>
    </row>
    <row r="327" spans="2:2" x14ac:dyDescent="0.2">
      <c r="B327" s="23" t="str">
        <f t="shared" si="10"/>
        <v/>
      </c>
    </row>
    <row r="328" spans="2:2" x14ac:dyDescent="0.2">
      <c r="B328" s="23" t="str">
        <f t="shared" si="10"/>
        <v/>
      </c>
    </row>
    <row r="329" spans="2:2" x14ac:dyDescent="0.2">
      <c r="B329" s="23" t="str">
        <f t="shared" si="10"/>
        <v/>
      </c>
    </row>
    <row r="330" spans="2:2" x14ac:dyDescent="0.2">
      <c r="B330" s="23" t="str">
        <f t="shared" si="10"/>
        <v/>
      </c>
    </row>
    <row r="331" spans="2:2" x14ac:dyDescent="0.2">
      <c r="B331" s="23" t="str">
        <f t="shared" si="10"/>
        <v/>
      </c>
    </row>
    <row r="332" spans="2:2" x14ac:dyDescent="0.2">
      <c r="B332" s="23" t="str">
        <f t="shared" si="10"/>
        <v/>
      </c>
    </row>
    <row r="333" spans="2:2" x14ac:dyDescent="0.2">
      <c r="B333" s="23" t="str">
        <f t="shared" si="10"/>
        <v/>
      </c>
    </row>
    <row r="334" spans="2:2" x14ac:dyDescent="0.2">
      <c r="B334" s="23" t="str">
        <f t="shared" si="10"/>
        <v/>
      </c>
    </row>
    <row r="335" spans="2:2" x14ac:dyDescent="0.2">
      <c r="B335" s="23" t="str">
        <f t="shared" si="10"/>
        <v/>
      </c>
    </row>
    <row r="336" spans="2:2" x14ac:dyDescent="0.2">
      <c r="B336" s="23" t="str">
        <f t="shared" si="10"/>
        <v/>
      </c>
    </row>
    <row r="337" spans="2:2" x14ac:dyDescent="0.2">
      <c r="B337" s="23" t="str">
        <f t="shared" si="10"/>
        <v/>
      </c>
    </row>
    <row r="338" spans="2:2" x14ac:dyDescent="0.2">
      <c r="B338" s="23" t="str">
        <f t="shared" si="10"/>
        <v/>
      </c>
    </row>
    <row r="339" spans="2:2" x14ac:dyDescent="0.2">
      <c r="B339" s="23" t="str">
        <f t="shared" si="10"/>
        <v/>
      </c>
    </row>
    <row r="340" spans="2:2" x14ac:dyDescent="0.2">
      <c r="B340" s="23" t="str">
        <f t="shared" si="10"/>
        <v/>
      </c>
    </row>
    <row r="341" spans="2:2" x14ac:dyDescent="0.2">
      <c r="B341" s="23" t="str">
        <f t="shared" si="10"/>
        <v/>
      </c>
    </row>
    <row r="342" spans="2:2" x14ac:dyDescent="0.2">
      <c r="B342" s="23" t="str">
        <f t="shared" si="10"/>
        <v/>
      </c>
    </row>
    <row r="343" spans="2:2" x14ac:dyDescent="0.2">
      <c r="B343" s="23" t="str">
        <f t="shared" si="10"/>
        <v/>
      </c>
    </row>
    <row r="344" spans="2:2" x14ac:dyDescent="0.2">
      <c r="B344" s="23" t="str">
        <f t="shared" si="10"/>
        <v/>
      </c>
    </row>
    <row r="345" spans="2:2" x14ac:dyDescent="0.2">
      <c r="B345" s="23" t="str">
        <f t="shared" si="10"/>
        <v/>
      </c>
    </row>
    <row r="346" spans="2:2" x14ac:dyDescent="0.2">
      <c r="B346" s="23" t="str">
        <f t="shared" si="10"/>
        <v/>
      </c>
    </row>
    <row r="347" spans="2:2" x14ac:dyDescent="0.2">
      <c r="B347" s="23" t="str">
        <f t="shared" si="10"/>
        <v/>
      </c>
    </row>
    <row r="348" spans="2:2" x14ac:dyDescent="0.2">
      <c r="B348" s="23" t="str">
        <f t="shared" si="10"/>
        <v/>
      </c>
    </row>
    <row r="349" spans="2:2" x14ac:dyDescent="0.2">
      <c r="B349" s="23" t="str">
        <f t="shared" si="10"/>
        <v/>
      </c>
    </row>
    <row r="350" spans="2:2" x14ac:dyDescent="0.2">
      <c r="B350" s="23" t="str">
        <f t="shared" si="10"/>
        <v/>
      </c>
    </row>
    <row r="351" spans="2:2" x14ac:dyDescent="0.2">
      <c r="B351" s="23" t="str">
        <f t="shared" si="10"/>
        <v/>
      </c>
    </row>
    <row r="352" spans="2:2" x14ac:dyDescent="0.2">
      <c r="B352" s="23" t="str">
        <f t="shared" si="10"/>
        <v/>
      </c>
    </row>
    <row r="353" spans="2:2" x14ac:dyDescent="0.2">
      <c r="B353" s="23" t="str">
        <f t="shared" si="10"/>
        <v/>
      </c>
    </row>
    <row r="354" spans="2:2" x14ac:dyDescent="0.2">
      <c r="B354" s="23" t="str">
        <f t="shared" si="10"/>
        <v/>
      </c>
    </row>
    <row r="355" spans="2:2" x14ac:dyDescent="0.2">
      <c r="B355" s="23" t="str">
        <f t="shared" si="10"/>
        <v/>
      </c>
    </row>
    <row r="356" spans="2:2" x14ac:dyDescent="0.2">
      <c r="B356" s="23" t="str">
        <f t="shared" si="10"/>
        <v/>
      </c>
    </row>
    <row r="357" spans="2:2" x14ac:dyDescent="0.2">
      <c r="B357" s="23" t="str">
        <f t="shared" si="10"/>
        <v/>
      </c>
    </row>
    <row r="358" spans="2:2" x14ac:dyDescent="0.2">
      <c r="B358" s="23" t="str">
        <f t="shared" si="10"/>
        <v/>
      </c>
    </row>
    <row r="359" spans="2:2" x14ac:dyDescent="0.2">
      <c r="B359" s="23" t="str">
        <f t="shared" si="10"/>
        <v/>
      </c>
    </row>
    <row r="360" spans="2:2" x14ac:dyDescent="0.2">
      <c r="B360" s="23" t="str">
        <f t="shared" si="10"/>
        <v/>
      </c>
    </row>
    <row r="361" spans="2:2" x14ac:dyDescent="0.2">
      <c r="B361" s="23" t="str">
        <f t="shared" si="10"/>
        <v/>
      </c>
    </row>
    <row r="362" spans="2:2" x14ac:dyDescent="0.2">
      <c r="B362" s="23" t="str">
        <f t="shared" si="10"/>
        <v/>
      </c>
    </row>
    <row r="363" spans="2:2" x14ac:dyDescent="0.2">
      <c r="B363" s="23" t="str">
        <f t="shared" si="10"/>
        <v/>
      </c>
    </row>
    <row r="364" spans="2:2" x14ac:dyDescent="0.2">
      <c r="B364" s="23" t="str">
        <f t="shared" si="10"/>
        <v/>
      </c>
    </row>
    <row r="365" spans="2:2" x14ac:dyDescent="0.2">
      <c r="B365" s="23" t="str">
        <f t="shared" si="10"/>
        <v/>
      </c>
    </row>
    <row r="366" spans="2:2" x14ac:dyDescent="0.2">
      <c r="B366" s="23" t="str">
        <f t="shared" si="10"/>
        <v/>
      </c>
    </row>
    <row r="367" spans="2:2" x14ac:dyDescent="0.2">
      <c r="B367" s="23" t="str">
        <f t="shared" si="10"/>
        <v/>
      </c>
    </row>
    <row r="368" spans="2:2" x14ac:dyDescent="0.2">
      <c r="B368" s="23" t="str">
        <f t="shared" si="10"/>
        <v/>
      </c>
    </row>
    <row r="369" spans="2:2" x14ac:dyDescent="0.2">
      <c r="B369" s="23" t="str">
        <f t="shared" si="10"/>
        <v/>
      </c>
    </row>
    <row r="370" spans="2:2" x14ac:dyDescent="0.2">
      <c r="B370" s="23" t="str">
        <f t="shared" si="10"/>
        <v/>
      </c>
    </row>
    <row r="371" spans="2:2" x14ac:dyDescent="0.2">
      <c r="B371" s="23" t="str">
        <f t="shared" si="10"/>
        <v/>
      </c>
    </row>
    <row r="372" spans="2:2" x14ac:dyDescent="0.2">
      <c r="B372" s="23" t="str">
        <f t="shared" si="10"/>
        <v/>
      </c>
    </row>
    <row r="373" spans="2:2" x14ac:dyDescent="0.2">
      <c r="B373" s="23" t="str">
        <f t="shared" si="10"/>
        <v/>
      </c>
    </row>
    <row r="374" spans="2:2" x14ac:dyDescent="0.2">
      <c r="B374" s="23" t="str">
        <f t="shared" si="10"/>
        <v/>
      </c>
    </row>
    <row r="375" spans="2:2" x14ac:dyDescent="0.2">
      <c r="B375" s="23" t="str">
        <f t="shared" si="10"/>
        <v/>
      </c>
    </row>
    <row r="376" spans="2:2" x14ac:dyDescent="0.2">
      <c r="B376" s="23" t="str">
        <f t="shared" si="10"/>
        <v/>
      </c>
    </row>
    <row r="377" spans="2:2" x14ac:dyDescent="0.2">
      <c r="B377" s="23" t="str">
        <f t="shared" si="10"/>
        <v/>
      </c>
    </row>
    <row r="378" spans="2:2" x14ac:dyDescent="0.2">
      <c r="B378" s="23" t="str">
        <f t="shared" si="10"/>
        <v/>
      </c>
    </row>
    <row r="379" spans="2:2" x14ac:dyDescent="0.2">
      <c r="B379" s="23" t="str">
        <f t="shared" si="10"/>
        <v/>
      </c>
    </row>
    <row r="380" spans="2:2" x14ac:dyDescent="0.2">
      <c r="B380" s="23" t="str">
        <f t="shared" si="10"/>
        <v/>
      </c>
    </row>
    <row r="381" spans="2:2" x14ac:dyDescent="0.2">
      <c r="B381" s="23" t="str">
        <f t="shared" si="10"/>
        <v/>
      </c>
    </row>
    <row r="382" spans="2:2" x14ac:dyDescent="0.2">
      <c r="B382" s="23" t="str">
        <f t="shared" si="10"/>
        <v/>
      </c>
    </row>
    <row r="383" spans="2:2" x14ac:dyDescent="0.2">
      <c r="B383" s="23" t="str">
        <f t="shared" si="10"/>
        <v/>
      </c>
    </row>
    <row r="384" spans="2:2" x14ac:dyDescent="0.2">
      <c r="B384" s="23" t="str">
        <f t="shared" si="10"/>
        <v/>
      </c>
    </row>
    <row r="385" spans="2:2" x14ac:dyDescent="0.2">
      <c r="B385" s="23" t="str">
        <f t="shared" si="10"/>
        <v/>
      </c>
    </row>
    <row r="386" spans="2:2" x14ac:dyDescent="0.2">
      <c r="B386" s="23" t="str">
        <f t="shared" si="10"/>
        <v/>
      </c>
    </row>
    <row r="387" spans="2:2" x14ac:dyDescent="0.2">
      <c r="B387" s="23" t="str">
        <f t="shared" si="10"/>
        <v/>
      </c>
    </row>
    <row r="388" spans="2:2" x14ac:dyDescent="0.2">
      <c r="B388" s="23" t="str">
        <f t="shared" si="10"/>
        <v/>
      </c>
    </row>
    <row r="389" spans="2:2" x14ac:dyDescent="0.2">
      <c r="B389" s="23" t="str">
        <f t="shared" ref="B389:B452" si="11">IF(OR(A389="(blank)",A389=""),"",1)</f>
        <v/>
      </c>
    </row>
    <row r="390" spans="2:2" x14ac:dyDescent="0.2">
      <c r="B390" s="23" t="str">
        <f t="shared" si="11"/>
        <v/>
      </c>
    </row>
    <row r="391" spans="2:2" x14ac:dyDescent="0.2">
      <c r="B391" s="23" t="str">
        <f t="shared" si="11"/>
        <v/>
      </c>
    </row>
    <row r="392" spans="2:2" x14ac:dyDescent="0.2">
      <c r="B392" s="23" t="str">
        <f t="shared" si="11"/>
        <v/>
      </c>
    </row>
    <row r="393" spans="2:2" x14ac:dyDescent="0.2">
      <c r="B393" s="23" t="str">
        <f t="shared" si="11"/>
        <v/>
      </c>
    </row>
    <row r="394" spans="2:2" x14ac:dyDescent="0.2">
      <c r="B394" s="23" t="str">
        <f t="shared" si="11"/>
        <v/>
      </c>
    </row>
    <row r="395" spans="2:2" x14ac:dyDescent="0.2">
      <c r="B395" s="23" t="str">
        <f t="shared" si="11"/>
        <v/>
      </c>
    </row>
    <row r="396" spans="2:2" x14ac:dyDescent="0.2">
      <c r="B396" s="23" t="str">
        <f t="shared" si="11"/>
        <v/>
      </c>
    </row>
    <row r="397" spans="2:2" x14ac:dyDescent="0.2">
      <c r="B397" s="23" t="str">
        <f t="shared" si="11"/>
        <v/>
      </c>
    </row>
    <row r="398" spans="2:2" x14ac:dyDescent="0.2">
      <c r="B398" s="23" t="str">
        <f t="shared" si="11"/>
        <v/>
      </c>
    </row>
    <row r="399" spans="2:2" x14ac:dyDescent="0.2">
      <c r="B399" s="23" t="str">
        <f t="shared" si="11"/>
        <v/>
      </c>
    </row>
    <row r="400" spans="2:2" x14ac:dyDescent="0.2">
      <c r="B400" s="23" t="str">
        <f t="shared" si="11"/>
        <v/>
      </c>
    </row>
    <row r="401" spans="2:2" x14ac:dyDescent="0.2">
      <c r="B401" s="23" t="str">
        <f t="shared" si="11"/>
        <v/>
      </c>
    </row>
    <row r="402" spans="2:2" x14ac:dyDescent="0.2">
      <c r="B402" s="23" t="str">
        <f t="shared" si="11"/>
        <v/>
      </c>
    </row>
    <row r="403" spans="2:2" x14ac:dyDescent="0.2">
      <c r="B403" s="23" t="str">
        <f t="shared" si="11"/>
        <v/>
      </c>
    </row>
    <row r="404" spans="2:2" x14ac:dyDescent="0.2">
      <c r="B404" s="23" t="str">
        <f t="shared" si="11"/>
        <v/>
      </c>
    </row>
    <row r="405" spans="2:2" x14ac:dyDescent="0.2">
      <c r="B405" s="23" t="str">
        <f t="shared" si="11"/>
        <v/>
      </c>
    </row>
    <row r="406" spans="2:2" x14ac:dyDescent="0.2">
      <c r="B406" s="23" t="str">
        <f t="shared" si="11"/>
        <v/>
      </c>
    </row>
    <row r="407" spans="2:2" x14ac:dyDescent="0.2">
      <c r="B407" s="23" t="str">
        <f t="shared" si="11"/>
        <v/>
      </c>
    </row>
    <row r="408" spans="2:2" x14ac:dyDescent="0.2">
      <c r="B408" s="23" t="str">
        <f t="shared" si="11"/>
        <v/>
      </c>
    </row>
    <row r="409" spans="2:2" x14ac:dyDescent="0.2">
      <c r="B409" s="23" t="str">
        <f t="shared" si="11"/>
        <v/>
      </c>
    </row>
    <row r="410" spans="2:2" x14ac:dyDescent="0.2">
      <c r="B410" s="23" t="str">
        <f t="shared" si="11"/>
        <v/>
      </c>
    </row>
    <row r="411" spans="2:2" x14ac:dyDescent="0.2">
      <c r="B411" s="23" t="str">
        <f t="shared" si="11"/>
        <v/>
      </c>
    </row>
    <row r="412" spans="2:2" x14ac:dyDescent="0.2">
      <c r="B412" s="23" t="str">
        <f t="shared" si="11"/>
        <v/>
      </c>
    </row>
    <row r="413" spans="2:2" x14ac:dyDescent="0.2">
      <c r="B413" s="23" t="str">
        <f t="shared" si="11"/>
        <v/>
      </c>
    </row>
    <row r="414" spans="2:2" x14ac:dyDescent="0.2">
      <c r="B414" s="23" t="str">
        <f t="shared" si="11"/>
        <v/>
      </c>
    </row>
    <row r="415" spans="2:2" x14ac:dyDescent="0.2">
      <c r="B415" s="23" t="str">
        <f t="shared" si="11"/>
        <v/>
      </c>
    </row>
    <row r="416" spans="2:2" x14ac:dyDescent="0.2">
      <c r="B416" s="23" t="str">
        <f t="shared" si="11"/>
        <v/>
      </c>
    </row>
    <row r="417" spans="2:2" x14ac:dyDescent="0.2">
      <c r="B417" s="23" t="str">
        <f t="shared" si="11"/>
        <v/>
      </c>
    </row>
    <row r="418" spans="2:2" x14ac:dyDescent="0.2">
      <c r="B418" s="23" t="str">
        <f t="shared" si="11"/>
        <v/>
      </c>
    </row>
    <row r="419" spans="2:2" x14ac:dyDescent="0.2">
      <c r="B419" s="23" t="str">
        <f t="shared" si="11"/>
        <v/>
      </c>
    </row>
    <row r="420" spans="2:2" x14ac:dyDescent="0.2">
      <c r="B420" s="23" t="str">
        <f t="shared" si="11"/>
        <v/>
      </c>
    </row>
    <row r="421" spans="2:2" x14ac:dyDescent="0.2">
      <c r="B421" s="23" t="str">
        <f t="shared" si="11"/>
        <v/>
      </c>
    </row>
    <row r="422" spans="2:2" x14ac:dyDescent="0.2">
      <c r="B422" s="23" t="str">
        <f t="shared" si="11"/>
        <v/>
      </c>
    </row>
    <row r="423" spans="2:2" x14ac:dyDescent="0.2">
      <c r="B423" s="23" t="str">
        <f t="shared" si="11"/>
        <v/>
      </c>
    </row>
    <row r="424" spans="2:2" x14ac:dyDescent="0.2">
      <c r="B424" s="23" t="str">
        <f t="shared" si="11"/>
        <v/>
      </c>
    </row>
    <row r="425" spans="2:2" x14ac:dyDescent="0.2">
      <c r="B425" s="23" t="str">
        <f t="shared" si="11"/>
        <v/>
      </c>
    </row>
    <row r="426" spans="2:2" x14ac:dyDescent="0.2">
      <c r="B426" s="23" t="str">
        <f t="shared" si="11"/>
        <v/>
      </c>
    </row>
    <row r="427" spans="2:2" x14ac:dyDescent="0.2">
      <c r="B427" s="23" t="str">
        <f t="shared" si="11"/>
        <v/>
      </c>
    </row>
    <row r="428" spans="2:2" x14ac:dyDescent="0.2">
      <c r="B428" s="23" t="str">
        <f t="shared" si="11"/>
        <v/>
      </c>
    </row>
    <row r="429" spans="2:2" x14ac:dyDescent="0.2">
      <c r="B429" s="23" t="str">
        <f t="shared" si="11"/>
        <v/>
      </c>
    </row>
    <row r="430" spans="2:2" x14ac:dyDescent="0.2">
      <c r="B430" s="23" t="str">
        <f t="shared" si="11"/>
        <v/>
      </c>
    </row>
    <row r="431" spans="2:2" x14ac:dyDescent="0.2">
      <c r="B431" s="23" t="str">
        <f t="shared" si="11"/>
        <v/>
      </c>
    </row>
    <row r="432" spans="2:2" x14ac:dyDescent="0.2">
      <c r="B432" s="23" t="str">
        <f t="shared" si="11"/>
        <v/>
      </c>
    </row>
    <row r="433" spans="2:2" x14ac:dyDescent="0.2">
      <c r="B433" s="23" t="str">
        <f t="shared" si="11"/>
        <v/>
      </c>
    </row>
    <row r="434" spans="2:2" x14ac:dyDescent="0.2">
      <c r="B434" s="23" t="str">
        <f t="shared" si="11"/>
        <v/>
      </c>
    </row>
    <row r="435" spans="2:2" x14ac:dyDescent="0.2">
      <c r="B435" s="23" t="str">
        <f t="shared" si="11"/>
        <v/>
      </c>
    </row>
    <row r="436" spans="2:2" x14ac:dyDescent="0.2">
      <c r="B436" s="23" t="str">
        <f t="shared" si="11"/>
        <v/>
      </c>
    </row>
    <row r="437" spans="2:2" x14ac:dyDescent="0.2">
      <c r="B437" s="23" t="str">
        <f t="shared" si="11"/>
        <v/>
      </c>
    </row>
    <row r="438" spans="2:2" x14ac:dyDescent="0.2">
      <c r="B438" s="23" t="str">
        <f t="shared" si="11"/>
        <v/>
      </c>
    </row>
    <row r="439" spans="2:2" x14ac:dyDescent="0.2">
      <c r="B439" s="23" t="str">
        <f t="shared" si="11"/>
        <v/>
      </c>
    </row>
    <row r="440" spans="2:2" x14ac:dyDescent="0.2">
      <c r="B440" s="23" t="str">
        <f t="shared" si="11"/>
        <v/>
      </c>
    </row>
    <row r="441" spans="2:2" x14ac:dyDescent="0.2">
      <c r="B441" s="23" t="str">
        <f t="shared" si="11"/>
        <v/>
      </c>
    </row>
    <row r="442" spans="2:2" x14ac:dyDescent="0.2">
      <c r="B442" s="23" t="str">
        <f t="shared" si="11"/>
        <v/>
      </c>
    </row>
    <row r="443" spans="2:2" x14ac:dyDescent="0.2">
      <c r="B443" s="23" t="str">
        <f t="shared" si="11"/>
        <v/>
      </c>
    </row>
    <row r="444" spans="2:2" x14ac:dyDescent="0.2">
      <c r="B444" s="23" t="str">
        <f t="shared" si="11"/>
        <v/>
      </c>
    </row>
    <row r="445" spans="2:2" x14ac:dyDescent="0.2">
      <c r="B445" s="23" t="str">
        <f t="shared" si="11"/>
        <v/>
      </c>
    </row>
    <row r="446" spans="2:2" x14ac:dyDescent="0.2">
      <c r="B446" s="23" t="str">
        <f t="shared" si="11"/>
        <v/>
      </c>
    </row>
    <row r="447" spans="2:2" x14ac:dyDescent="0.2">
      <c r="B447" s="23" t="str">
        <f t="shared" si="11"/>
        <v/>
      </c>
    </row>
    <row r="448" spans="2:2" x14ac:dyDescent="0.2">
      <c r="B448" s="23" t="str">
        <f t="shared" si="11"/>
        <v/>
      </c>
    </row>
    <row r="449" spans="2:2" x14ac:dyDescent="0.2">
      <c r="B449" s="23" t="str">
        <f t="shared" si="11"/>
        <v/>
      </c>
    </row>
    <row r="450" spans="2:2" x14ac:dyDescent="0.2">
      <c r="B450" s="23" t="str">
        <f t="shared" si="11"/>
        <v/>
      </c>
    </row>
    <row r="451" spans="2:2" x14ac:dyDescent="0.2">
      <c r="B451" s="23" t="str">
        <f t="shared" si="11"/>
        <v/>
      </c>
    </row>
    <row r="452" spans="2:2" x14ac:dyDescent="0.2">
      <c r="B452" s="23" t="str">
        <f t="shared" si="11"/>
        <v/>
      </c>
    </row>
    <row r="453" spans="2:2" x14ac:dyDescent="0.2">
      <c r="B453" s="23" t="str">
        <f t="shared" ref="B453:B516" si="12">IF(OR(A453="(blank)",A453=""),"",1)</f>
        <v/>
      </c>
    </row>
    <row r="454" spans="2:2" x14ac:dyDescent="0.2">
      <c r="B454" s="23" t="str">
        <f t="shared" si="12"/>
        <v/>
      </c>
    </row>
    <row r="455" spans="2:2" x14ac:dyDescent="0.2">
      <c r="B455" s="23" t="str">
        <f t="shared" si="12"/>
        <v/>
      </c>
    </row>
    <row r="456" spans="2:2" x14ac:dyDescent="0.2">
      <c r="B456" s="23" t="str">
        <f t="shared" si="12"/>
        <v/>
      </c>
    </row>
    <row r="457" spans="2:2" x14ac:dyDescent="0.2">
      <c r="B457" s="23" t="str">
        <f t="shared" si="12"/>
        <v/>
      </c>
    </row>
    <row r="458" spans="2:2" x14ac:dyDescent="0.2">
      <c r="B458" s="23" t="str">
        <f t="shared" si="12"/>
        <v/>
      </c>
    </row>
    <row r="459" spans="2:2" x14ac:dyDescent="0.2">
      <c r="B459" s="23" t="str">
        <f t="shared" si="12"/>
        <v/>
      </c>
    </row>
    <row r="460" spans="2:2" x14ac:dyDescent="0.2">
      <c r="B460" s="23" t="str">
        <f t="shared" si="12"/>
        <v/>
      </c>
    </row>
    <row r="461" spans="2:2" x14ac:dyDescent="0.2">
      <c r="B461" s="23" t="str">
        <f t="shared" si="12"/>
        <v/>
      </c>
    </row>
    <row r="462" spans="2:2" x14ac:dyDescent="0.2">
      <c r="B462" s="23" t="str">
        <f t="shared" si="12"/>
        <v/>
      </c>
    </row>
    <row r="463" spans="2:2" x14ac:dyDescent="0.2">
      <c r="B463" s="23" t="str">
        <f t="shared" si="12"/>
        <v/>
      </c>
    </row>
    <row r="464" spans="2:2" x14ac:dyDescent="0.2">
      <c r="B464" s="23" t="str">
        <f t="shared" si="12"/>
        <v/>
      </c>
    </row>
    <row r="465" spans="2:2" x14ac:dyDescent="0.2">
      <c r="B465" s="23" t="str">
        <f t="shared" si="12"/>
        <v/>
      </c>
    </row>
    <row r="466" spans="2:2" x14ac:dyDescent="0.2">
      <c r="B466" s="23" t="str">
        <f t="shared" si="12"/>
        <v/>
      </c>
    </row>
    <row r="467" spans="2:2" x14ac:dyDescent="0.2">
      <c r="B467" s="23" t="str">
        <f t="shared" si="12"/>
        <v/>
      </c>
    </row>
    <row r="468" spans="2:2" x14ac:dyDescent="0.2">
      <c r="B468" s="23" t="str">
        <f t="shared" si="12"/>
        <v/>
      </c>
    </row>
    <row r="469" spans="2:2" x14ac:dyDescent="0.2">
      <c r="B469" s="23" t="str">
        <f t="shared" si="12"/>
        <v/>
      </c>
    </row>
    <row r="470" spans="2:2" x14ac:dyDescent="0.2">
      <c r="B470" s="23" t="str">
        <f t="shared" si="12"/>
        <v/>
      </c>
    </row>
    <row r="471" spans="2:2" x14ac:dyDescent="0.2">
      <c r="B471" s="23" t="str">
        <f t="shared" si="12"/>
        <v/>
      </c>
    </row>
    <row r="472" spans="2:2" x14ac:dyDescent="0.2">
      <c r="B472" s="23" t="str">
        <f t="shared" si="12"/>
        <v/>
      </c>
    </row>
    <row r="473" spans="2:2" x14ac:dyDescent="0.2">
      <c r="B473" s="23" t="str">
        <f t="shared" si="12"/>
        <v/>
      </c>
    </row>
    <row r="474" spans="2:2" x14ac:dyDescent="0.2">
      <c r="B474" s="23" t="str">
        <f t="shared" si="12"/>
        <v/>
      </c>
    </row>
    <row r="475" spans="2:2" x14ac:dyDescent="0.2">
      <c r="B475" s="23" t="str">
        <f t="shared" si="12"/>
        <v/>
      </c>
    </row>
    <row r="476" spans="2:2" x14ac:dyDescent="0.2">
      <c r="B476" s="23" t="str">
        <f t="shared" si="12"/>
        <v/>
      </c>
    </row>
    <row r="477" spans="2:2" x14ac:dyDescent="0.2">
      <c r="B477" s="23" t="str">
        <f t="shared" si="12"/>
        <v/>
      </c>
    </row>
    <row r="478" spans="2:2" x14ac:dyDescent="0.2">
      <c r="B478" s="23" t="str">
        <f t="shared" si="12"/>
        <v/>
      </c>
    </row>
    <row r="479" spans="2:2" x14ac:dyDescent="0.2">
      <c r="B479" s="23" t="str">
        <f t="shared" si="12"/>
        <v/>
      </c>
    </row>
    <row r="480" spans="2:2" x14ac:dyDescent="0.2">
      <c r="B480" s="23" t="str">
        <f t="shared" si="12"/>
        <v/>
      </c>
    </row>
    <row r="481" spans="2:2" x14ac:dyDescent="0.2">
      <c r="B481" s="23" t="str">
        <f t="shared" si="12"/>
        <v/>
      </c>
    </row>
    <row r="482" spans="2:2" x14ac:dyDescent="0.2">
      <c r="B482" s="23" t="str">
        <f t="shared" si="12"/>
        <v/>
      </c>
    </row>
    <row r="483" spans="2:2" x14ac:dyDescent="0.2">
      <c r="B483" s="23" t="str">
        <f t="shared" si="12"/>
        <v/>
      </c>
    </row>
    <row r="484" spans="2:2" x14ac:dyDescent="0.2">
      <c r="B484" s="23" t="str">
        <f t="shared" si="12"/>
        <v/>
      </c>
    </row>
    <row r="485" spans="2:2" x14ac:dyDescent="0.2">
      <c r="B485" s="23" t="str">
        <f t="shared" si="12"/>
        <v/>
      </c>
    </row>
    <row r="486" spans="2:2" x14ac:dyDescent="0.2">
      <c r="B486" s="23" t="str">
        <f t="shared" si="12"/>
        <v/>
      </c>
    </row>
    <row r="487" spans="2:2" x14ac:dyDescent="0.2">
      <c r="B487" s="23" t="str">
        <f t="shared" si="12"/>
        <v/>
      </c>
    </row>
    <row r="488" spans="2:2" x14ac:dyDescent="0.2">
      <c r="B488" s="23" t="str">
        <f t="shared" si="12"/>
        <v/>
      </c>
    </row>
    <row r="489" spans="2:2" x14ac:dyDescent="0.2">
      <c r="B489" s="23" t="str">
        <f t="shared" si="12"/>
        <v/>
      </c>
    </row>
    <row r="490" spans="2:2" x14ac:dyDescent="0.2">
      <c r="B490" s="23" t="str">
        <f t="shared" si="12"/>
        <v/>
      </c>
    </row>
    <row r="491" spans="2:2" x14ac:dyDescent="0.2">
      <c r="B491" s="23" t="str">
        <f t="shared" si="12"/>
        <v/>
      </c>
    </row>
    <row r="492" spans="2:2" x14ac:dyDescent="0.2">
      <c r="B492" s="23" t="str">
        <f t="shared" si="12"/>
        <v/>
      </c>
    </row>
    <row r="493" spans="2:2" x14ac:dyDescent="0.2">
      <c r="B493" s="23" t="str">
        <f t="shared" si="12"/>
        <v/>
      </c>
    </row>
    <row r="494" spans="2:2" x14ac:dyDescent="0.2">
      <c r="B494" s="23" t="str">
        <f t="shared" si="12"/>
        <v/>
      </c>
    </row>
    <row r="495" spans="2:2" x14ac:dyDescent="0.2">
      <c r="B495" s="23" t="str">
        <f t="shared" si="12"/>
        <v/>
      </c>
    </row>
    <row r="496" spans="2:2" x14ac:dyDescent="0.2">
      <c r="B496" s="23" t="str">
        <f t="shared" si="12"/>
        <v/>
      </c>
    </row>
    <row r="497" spans="2:2" x14ac:dyDescent="0.2">
      <c r="B497" s="23" t="str">
        <f t="shared" si="12"/>
        <v/>
      </c>
    </row>
    <row r="498" spans="2:2" x14ac:dyDescent="0.2">
      <c r="B498" s="23" t="str">
        <f t="shared" si="12"/>
        <v/>
      </c>
    </row>
    <row r="499" spans="2:2" x14ac:dyDescent="0.2">
      <c r="B499" s="23" t="str">
        <f t="shared" si="12"/>
        <v/>
      </c>
    </row>
    <row r="500" spans="2:2" x14ac:dyDescent="0.2">
      <c r="B500" s="23" t="str">
        <f t="shared" si="12"/>
        <v/>
      </c>
    </row>
    <row r="501" spans="2:2" x14ac:dyDescent="0.2">
      <c r="B501" s="23" t="str">
        <f t="shared" si="12"/>
        <v/>
      </c>
    </row>
    <row r="502" spans="2:2" x14ac:dyDescent="0.2">
      <c r="B502" s="23" t="str">
        <f t="shared" si="12"/>
        <v/>
      </c>
    </row>
    <row r="503" spans="2:2" x14ac:dyDescent="0.2">
      <c r="B503" s="23" t="str">
        <f t="shared" si="12"/>
        <v/>
      </c>
    </row>
    <row r="504" spans="2:2" x14ac:dyDescent="0.2">
      <c r="B504" s="23" t="str">
        <f t="shared" si="12"/>
        <v/>
      </c>
    </row>
    <row r="505" spans="2:2" x14ac:dyDescent="0.2">
      <c r="B505" s="23" t="str">
        <f t="shared" si="12"/>
        <v/>
      </c>
    </row>
    <row r="506" spans="2:2" x14ac:dyDescent="0.2">
      <c r="B506" s="23" t="str">
        <f t="shared" si="12"/>
        <v/>
      </c>
    </row>
    <row r="507" spans="2:2" x14ac:dyDescent="0.2">
      <c r="B507" s="23" t="str">
        <f t="shared" si="12"/>
        <v/>
      </c>
    </row>
    <row r="508" spans="2:2" x14ac:dyDescent="0.2">
      <c r="B508" s="23" t="str">
        <f t="shared" si="12"/>
        <v/>
      </c>
    </row>
    <row r="509" spans="2:2" x14ac:dyDescent="0.2">
      <c r="B509" s="23" t="str">
        <f t="shared" si="12"/>
        <v/>
      </c>
    </row>
    <row r="510" spans="2:2" x14ac:dyDescent="0.2">
      <c r="B510" s="23" t="str">
        <f t="shared" si="12"/>
        <v/>
      </c>
    </row>
    <row r="511" spans="2:2" x14ac:dyDescent="0.2">
      <c r="B511" s="23" t="str">
        <f t="shared" si="12"/>
        <v/>
      </c>
    </row>
    <row r="512" spans="2:2" x14ac:dyDescent="0.2">
      <c r="B512" s="23" t="str">
        <f t="shared" si="12"/>
        <v/>
      </c>
    </row>
    <row r="513" spans="2:2" x14ac:dyDescent="0.2">
      <c r="B513" s="23" t="str">
        <f t="shared" si="12"/>
        <v/>
      </c>
    </row>
    <row r="514" spans="2:2" x14ac:dyDescent="0.2">
      <c r="B514" s="23" t="str">
        <f t="shared" si="12"/>
        <v/>
      </c>
    </row>
    <row r="515" spans="2:2" x14ac:dyDescent="0.2">
      <c r="B515" s="23" t="str">
        <f t="shared" si="12"/>
        <v/>
      </c>
    </row>
    <row r="516" spans="2:2" x14ac:dyDescent="0.2">
      <c r="B516" s="23" t="str">
        <f t="shared" si="12"/>
        <v/>
      </c>
    </row>
    <row r="517" spans="2:2" x14ac:dyDescent="0.2">
      <c r="B517" s="23" t="str">
        <f t="shared" ref="B517:B580" si="13">IF(OR(A517="(blank)",A517=""),"",1)</f>
        <v/>
      </c>
    </row>
    <row r="518" spans="2:2" x14ac:dyDescent="0.2">
      <c r="B518" s="23" t="str">
        <f t="shared" si="13"/>
        <v/>
      </c>
    </row>
    <row r="519" spans="2:2" x14ac:dyDescent="0.2">
      <c r="B519" s="23" t="str">
        <f t="shared" si="13"/>
        <v/>
      </c>
    </row>
    <row r="520" spans="2:2" x14ac:dyDescent="0.2">
      <c r="B520" s="23" t="str">
        <f t="shared" si="13"/>
        <v/>
      </c>
    </row>
    <row r="521" spans="2:2" x14ac:dyDescent="0.2">
      <c r="B521" s="23" t="str">
        <f t="shared" si="13"/>
        <v/>
      </c>
    </row>
    <row r="522" spans="2:2" x14ac:dyDescent="0.2">
      <c r="B522" s="23" t="str">
        <f t="shared" si="13"/>
        <v/>
      </c>
    </row>
    <row r="523" spans="2:2" x14ac:dyDescent="0.2">
      <c r="B523" s="23" t="str">
        <f t="shared" si="13"/>
        <v/>
      </c>
    </row>
    <row r="524" spans="2:2" x14ac:dyDescent="0.2">
      <c r="B524" s="23" t="str">
        <f t="shared" si="13"/>
        <v/>
      </c>
    </row>
    <row r="525" spans="2:2" x14ac:dyDescent="0.2">
      <c r="B525" s="23" t="str">
        <f t="shared" si="13"/>
        <v/>
      </c>
    </row>
    <row r="526" spans="2:2" x14ac:dyDescent="0.2">
      <c r="B526" s="23" t="str">
        <f t="shared" si="13"/>
        <v/>
      </c>
    </row>
    <row r="527" spans="2:2" x14ac:dyDescent="0.2">
      <c r="B527" s="23" t="str">
        <f t="shared" si="13"/>
        <v/>
      </c>
    </row>
    <row r="528" spans="2:2" x14ac:dyDescent="0.2">
      <c r="B528" s="23" t="str">
        <f t="shared" si="13"/>
        <v/>
      </c>
    </row>
    <row r="529" spans="2:2" x14ac:dyDescent="0.2">
      <c r="B529" s="23" t="str">
        <f t="shared" si="13"/>
        <v/>
      </c>
    </row>
    <row r="530" spans="2:2" x14ac:dyDescent="0.2">
      <c r="B530" s="23" t="str">
        <f t="shared" si="13"/>
        <v/>
      </c>
    </row>
    <row r="531" spans="2:2" x14ac:dyDescent="0.2">
      <c r="B531" s="23" t="str">
        <f t="shared" si="13"/>
        <v/>
      </c>
    </row>
    <row r="532" spans="2:2" x14ac:dyDescent="0.2">
      <c r="B532" s="23" t="str">
        <f t="shared" si="13"/>
        <v/>
      </c>
    </row>
    <row r="533" spans="2:2" x14ac:dyDescent="0.2">
      <c r="B533" s="23" t="str">
        <f t="shared" si="13"/>
        <v/>
      </c>
    </row>
    <row r="534" spans="2:2" x14ac:dyDescent="0.2">
      <c r="B534" s="23" t="str">
        <f t="shared" si="13"/>
        <v/>
      </c>
    </row>
    <row r="535" spans="2:2" x14ac:dyDescent="0.2">
      <c r="B535" s="23" t="str">
        <f t="shared" si="13"/>
        <v/>
      </c>
    </row>
    <row r="536" spans="2:2" x14ac:dyDescent="0.2">
      <c r="B536" s="23" t="str">
        <f t="shared" si="13"/>
        <v/>
      </c>
    </row>
    <row r="537" spans="2:2" x14ac:dyDescent="0.2">
      <c r="B537" s="23" t="str">
        <f t="shared" si="13"/>
        <v/>
      </c>
    </row>
    <row r="538" spans="2:2" x14ac:dyDescent="0.2">
      <c r="B538" s="23" t="str">
        <f t="shared" si="13"/>
        <v/>
      </c>
    </row>
    <row r="539" spans="2:2" x14ac:dyDescent="0.2">
      <c r="B539" s="23" t="str">
        <f t="shared" si="13"/>
        <v/>
      </c>
    </row>
    <row r="540" spans="2:2" x14ac:dyDescent="0.2">
      <c r="B540" s="23" t="str">
        <f t="shared" si="13"/>
        <v/>
      </c>
    </row>
    <row r="541" spans="2:2" x14ac:dyDescent="0.2">
      <c r="B541" s="23" t="str">
        <f t="shared" si="13"/>
        <v/>
      </c>
    </row>
    <row r="542" spans="2:2" x14ac:dyDescent="0.2">
      <c r="B542" s="23" t="str">
        <f t="shared" si="13"/>
        <v/>
      </c>
    </row>
    <row r="543" spans="2:2" x14ac:dyDescent="0.2">
      <c r="B543" s="23" t="str">
        <f t="shared" si="13"/>
        <v/>
      </c>
    </row>
    <row r="544" spans="2:2" x14ac:dyDescent="0.2">
      <c r="B544" s="23" t="str">
        <f t="shared" si="13"/>
        <v/>
      </c>
    </row>
    <row r="545" spans="2:2" x14ac:dyDescent="0.2">
      <c r="B545" s="23" t="str">
        <f t="shared" si="13"/>
        <v/>
      </c>
    </row>
    <row r="546" spans="2:2" x14ac:dyDescent="0.2">
      <c r="B546" s="23" t="str">
        <f t="shared" si="13"/>
        <v/>
      </c>
    </row>
    <row r="547" spans="2:2" x14ac:dyDescent="0.2">
      <c r="B547" s="23" t="str">
        <f t="shared" si="13"/>
        <v/>
      </c>
    </row>
    <row r="548" spans="2:2" x14ac:dyDescent="0.2">
      <c r="B548" s="23" t="str">
        <f t="shared" si="13"/>
        <v/>
      </c>
    </row>
    <row r="549" spans="2:2" x14ac:dyDescent="0.2">
      <c r="B549" s="23" t="str">
        <f t="shared" si="13"/>
        <v/>
      </c>
    </row>
    <row r="550" spans="2:2" x14ac:dyDescent="0.2">
      <c r="B550" s="23" t="str">
        <f t="shared" si="13"/>
        <v/>
      </c>
    </row>
    <row r="551" spans="2:2" x14ac:dyDescent="0.2">
      <c r="B551" s="23" t="str">
        <f t="shared" si="13"/>
        <v/>
      </c>
    </row>
    <row r="552" spans="2:2" x14ac:dyDescent="0.2">
      <c r="B552" s="23" t="str">
        <f t="shared" si="13"/>
        <v/>
      </c>
    </row>
    <row r="553" spans="2:2" x14ac:dyDescent="0.2">
      <c r="B553" s="23" t="str">
        <f t="shared" si="13"/>
        <v/>
      </c>
    </row>
    <row r="554" spans="2:2" x14ac:dyDescent="0.2">
      <c r="B554" s="23" t="str">
        <f t="shared" si="13"/>
        <v/>
      </c>
    </row>
    <row r="555" spans="2:2" x14ac:dyDescent="0.2">
      <c r="B555" s="23" t="str">
        <f t="shared" si="13"/>
        <v/>
      </c>
    </row>
    <row r="556" spans="2:2" x14ac:dyDescent="0.2">
      <c r="B556" s="23" t="str">
        <f t="shared" si="13"/>
        <v/>
      </c>
    </row>
    <row r="557" spans="2:2" x14ac:dyDescent="0.2">
      <c r="B557" s="23" t="str">
        <f t="shared" si="13"/>
        <v/>
      </c>
    </row>
    <row r="558" spans="2:2" x14ac:dyDescent="0.2">
      <c r="B558" s="23" t="str">
        <f t="shared" si="13"/>
        <v/>
      </c>
    </row>
    <row r="559" spans="2:2" x14ac:dyDescent="0.2">
      <c r="B559" s="23" t="str">
        <f t="shared" si="13"/>
        <v/>
      </c>
    </row>
    <row r="560" spans="2:2" x14ac:dyDescent="0.2">
      <c r="B560" s="23" t="str">
        <f t="shared" si="13"/>
        <v/>
      </c>
    </row>
    <row r="561" spans="2:2" x14ac:dyDescent="0.2">
      <c r="B561" s="23" t="str">
        <f t="shared" si="13"/>
        <v/>
      </c>
    </row>
    <row r="562" spans="2:2" x14ac:dyDescent="0.2">
      <c r="B562" s="23" t="str">
        <f t="shared" si="13"/>
        <v/>
      </c>
    </row>
    <row r="563" spans="2:2" x14ac:dyDescent="0.2">
      <c r="B563" s="23" t="str">
        <f t="shared" si="13"/>
        <v/>
      </c>
    </row>
    <row r="564" spans="2:2" x14ac:dyDescent="0.2">
      <c r="B564" s="23" t="str">
        <f t="shared" si="13"/>
        <v/>
      </c>
    </row>
    <row r="565" spans="2:2" x14ac:dyDescent="0.2">
      <c r="B565" s="23" t="str">
        <f t="shared" si="13"/>
        <v/>
      </c>
    </row>
    <row r="566" spans="2:2" x14ac:dyDescent="0.2">
      <c r="B566" s="23" t="str">
        <f t="shared" si="13"/>
        <v/>
      </c>
    </row>
    <row r="567" spans="2:2" x14ac:dyDescent="0.2">
      <c r="B567" s="23" t="str">
        <f t="shared" si="13"/>
        <v/>
      </c>
    </row>
    <row r="568" spans="2:2" x14ac:dyDescent="0.2">
      <c r="B568" s="23" t="str">
        <f t="shared" si="13"/>
        <v/>
      </c>
    </row>
    <row r="569" spans="2:2" x14ac:dyDescent="0.2">
      <c r="B569" s="23" t="str">
        <f t="shared" si="13"/>
        <v/>
      </c>
    </row>
    <row r="570" spans="2:2" x14ac:dyDescent="0.2">
      <c r="B570" s="23" t="str">
        <f t="shared" si="13"/>
        <v/>
      </c>
    </row>
    <row r="571" spans="2:2" x14ac:dyDescent="0.2">
      <c r="B571" s="23" t="str">
        <f t="shared" si="13"/>
        <v/>
      </c>
    </row>
    <row r="572" spans="2:2" x14ac:dyDescent="0.2">
      <c r="B572" s="23" t="str">
        <f t="shared" si="13"/>
        <v/>
      </c>
    </row>
    <row r="573" spans="2:2" x14ac:dyDescent="0.2">
      <c r="B573" s="23" t="str">
        <f t="shared" si="13"/>
        <v/>
      </c>
    </row>
    <row r="574" spans="2:2" x14ac:dyDescent="0.2">
      <c r="B574" s="23" t="str">
        <f t="shared" si="13"/>
        <v/>
      </c>
    </row>
    <row r="575" spans="2:2" x14ac:dyDescent="0.2">
      <c r="B575" s="23" t="str">
        <f t="shared" si="13"/>
        <v/>
      </c>
    </row>
    <row r="576" spans="2:2" x14ac:dyDescent="0.2">
      <c r="B576" s="23" t="str">
        <f t="shared" si="13"/>
        <v/>
      </c>
    </row>
    <row r="577" spans="2:2" x14ac:dyDescent="0.2">
      <c r="B577" s="23" t="str">
        <f t="shared" si="13"/>
        <v/>
      </c>
    </row>
    <row r="578" spans="2:2" x14ac:dyDescent="0.2">
      <c r="B578" s="23" t="str">
        <f t="shared" si="13"/>
        <v/>
      </c>
    </row>
    <row r="579" spans="2:2" x14ac:dyDescent="0.2">
      <c r="B579" s="23" t="str">
        <f t="shared" si="13"/>
        <v/>
      </c>
    </row>
    <row r="580" spans="2:2" x14ac:dyDescent="0.2">
      <c r="B580" s="23" t="str">
        <f t="shared" si="13"/>
        <v/>
      </c>
    </row>
    <row r="581" spans="2:2" x14ac:dyDescent="0.2">
      <c r="B581" s="23" t="str">
        <f t="shared" ref="B581:B644" si="14">IF(OR(A581="(blank)",A581=""),"",1)</f>
        <v/>
      </c>
    </row>
    <row r="582" spans="2:2" x14ac:dyDescent="0.2">
      <c r="B582" s="23" t="str">
        <f t="shared" si="14"/>
        <v/>
      </c>
    </row>
    <row r="583" spans="2:2" x14ac:dyDescent="0.2">
      <c r="B583" s="23" t="str">
        <f t="shared" si="14"/>
        <v/>
      </c>
    </row>
    <row r="584" spans="2:2" x14ac:dyDescent="0.2">
      <c r="B584" s="23" t="str">
        <f t="shared" si="14"/>
        <v/>
      </c>
    </row>
    <row r="585" spans="2:2" x14ac:dyDescent="0.2">
      <c r="B585" s="23" t="str">
        <f t="shared" si="14"/>
        <v/>
      </c>
    </row>
    <row r="586" spans="2:2" x14ac:dyDescent="0.2">
      <c r="B586" s="23" t="str">
        <f t="shared" si="14"/>
        <v/>
      </c>
    </row>
    <row r="587" spans="2:2" x14ac:dyDescent="0.2">
      <c r="B587" s="23" t="str">
        <f t="shared" si="14"/>
        <v/>
      </c>
    </row>
    <row r="588" spans="2:2" x14ac:dyDescent="0.2">
      <c r="B588" s="23" t="str">
        <f t="shared" si="14"/>
        <v/>
      </c>
    </row>
    <row r="589" spans="2:2" x14ac:dyDescent="0.2">
      <c r="B589" s="23" t="str">
        <f t="shared" si="14"/>
        <v/>
      </c>
    </row>
    <row r="590" spans="2:2" x14ac:dyDescent="0.2">
      <c r="B590" s="23" t="str">
        <f t="shared" si="14"/>
        <v/>
      </c>
    </row>
    <row r="591" spans="2:2" x14ac:dyDescent="0.2">
      <c r="B591" s="23" t="str">
        <f t="shared" si="14"/>
        <v/>
      </c>
    </row>
    <row r="592" spans="2:2" x14ac:dyDescent="0.2">
      <c r="B592" s="23" t="str">
        <f t="shared" si="14"/>
        <v/>
      </c>
    </row>
    <row r="593" spans="2:2" x14ac:dyDescent="0.2">
      <c r="B593" s="23" t="str">
        <f t="shared" si="14"/>
        <v/>
      </c>
    </row>
    <row r="594" spans="2:2" x14ac:dyDescent="0.2">
      <c r="B594" s="23" t="str">
        <f t="shared" si="14"/>
        <v/>
      </c>
    </row>
    <row r="595" spans="2:2" x14ac:dyDescent="0.2">
      <c r="B595" s="23" t="str">
        <f t="shared" si="14"/>
        <v/>
      </c>
    </row>
    <row r="596" spans="2:2" x14ac:dyDescent="0.2">
      <c r="B596" s="23" t="str">
        <f t="shared" si="14"/>
        <v/>
      </c>
    </row>
    <row r="597" spans="2:2" x14ac:dyDescent="0.2">
      <c r="B597" s="23" t="str">
        <f t="shared" si="14"/>
        <v/>
      </c>
    </row>
    <row r="598" spans="2:2" x14ac:dyDescent="0.2">
      <c r="B598" s="23" t="str">
        <f t="shared" si="14"/>
        <v/>
      </c>
    </row>
    <row r="599" spans="2:2" x14ac:dyDescent="0.2">
      <c r="B599" s="23" t="str">
        <f t="shared" si="14"/>
        <v/>
      </c>
    </row>
    <row r="600" spans="2:2" x14ac:dyDescent="0.2">
      <c r="B600" s="23" t="str">
        <f t="shared" si="14"/>
        <v/>
      </c>
    </row>
    <row r="601" spans="2:2" x14ac:dyDescent="0.2">
      <c r="B601" s="23" t="str">
        <f t="shared" si="14"/>
        <v/>
      </c>
    </row>
    <row r="602" spans="2:2" x14ac:dyDescent="0.2">
      <c r="B602" s="23" t="str">
        <f t="shared" si="14"/>
        <v/>
      </c>
    </row>
    <row r="603" spans="2:2" x14ac:dyDescent="0.2">
      <c r="B603" s="23" t="str">
        <f t="shared" si="14"/>
        <v/>
      </c>
    </row>
    <row r="604" spans="2:2" x14ac:dyDescent="0.2">
      <c r="B604" s="23" t="str">
        <f t="shared" si="14"/>
        <v/>
      </c>
    </row>
    <row r="605" spans="2:2" x14ac:dyDescent="0.2">
      <c r="B605" s="23" t="str">
        <f t="shared" si="14"/>
        <v/>
      </c>
    </row>
    <row r="606" spans="2:2" x14ac:dyDescent="0.2">
      <c r="B606" s="23" t="str">
        <f t="shared" si="14"/>
        <v/>
      </c>
    </row>
    <row r="607" spans="2:2" x14ac:dyDescent="0.2">
      <c r="B607" s="23" t="str">
        <f t="shared" si="14"/>
        <v/>
      </c>
    </row>
    <row r="608" spans="2:2" x14ac:dyDescent="0.2">
      <c r="B608" s="23" t="str">
        <f t="shared" si="14"/>
        <v/>
      </c>
    </row>
    <row r="609" spans="2:2" x14ac:dyDescent="0.2">
      <c r="B609" s="23" t="str">
        <f t="shared" si="14"/>
        <v/>
      </c>
    </row>
    <row r="610" spans="2:2" x14ac:dyDescent="0.2">
      <c r="B610" s="23" t="str">
        <f t="shared" si="14"/>
        <v/>
      </c>
    </row>
    <row r="611" spans="2:2" x14ac:dyDescent="0.2">
      <c r="B611" s="23" t="str">
        <f t="shared" si="14"/>
        <v/>
      </c>
    </row>
    <row r="612" spans="2:2" x14ac:dyDescent="0.2">
      <c r="B612" s="23" t="str">
        <f t="shared" si="14"/>
        <v/>
      </c>
    </row>
    <row r="613" spans="2:2" x14ac:dyDescent="0.2">
      <c r="B613" s="23" t="str">
        <f t="shared" si="14"/>
        <v/>
      </c>
    </row>
    <row r="614" spans="2:2" x14ac:dyDescent="0.2">
      <c r="B614" s="23" t="str">
        <f t="shared" si="14"/>
        <v/>
      </c>
    </row>
    <row r="615" spans="2:2" x14ac:dyDescent="0.2">
      <c r="B615" s="23" t="str">
        <f t="shared" si="14"/>
        <v/>
      </c>
    </row>
    <row r="616" spans="2:2" x14ac:dyDescent="0.2">
      <c r="B616" s="23" t="str">
        <f t="shared" si="14"/>
        <v/>
      </c>
    </row>
    <row r="617" spans="2:2" x14ac:dyDescent="0.2">
      <c r="B617" s="23" t="str">
        <f t="shared" si="14"/>
        <v/>
      </c>
    </row>
    <row r="618" spans="2:2" x14ac:dyDescent="0.2">
      <c r="B618" s="23" t="str">
        <f t="shared" si="14"/>
        <v/>
      </c>
    </row>
    <row r="619" spans="2:2" x14ac:dyDescent="0.2">
      <c r="B619" s="23" t="str">
        <f t="shared" si="14"/>
        <v/>
      </c>
    </row>
    <row r="620" spans="2:2" x14ac:dyDescent="0.2">
      <c r="B620" s="23" t="str">
        <f t="shared" si="14"/>
        <v/>
      </c>
    </row>
    <row r="621" spans="2:2" x14ac:dyDescent="0.2">
      <c r="B621" s="23" t="str">
        <f t="shared" si="14"/>
        <v/>
      </c>
    </row>
    <row r="622" spans="2:2" x14ac:dyDescent="0.2">
      <c r="B622" s="23" t="str">
        <f t="shared" si="14"/>
        <v/>
      </c>
    </row>
    <row r="623" spans="2:2" x14ac:dyDescent="0.2">
      <c r="B623" s="23" t="str">
        <f t="shared" si="14"/>
        <v/>
      </c>
    </row>
    <row r="624" spans="2:2" x14ac:dyDescent="0.2">
      <c r="B624" s="23" t="str">
        <f t="shared" si="14"/>
        <v/>
      </c>
    </row>
    <row r="625" spans="2:2" x14ac:dyDescent="0.2">
      <c r="B625" s="23" t="str">
        <f t="shared" si="14"/>
        <v/>
      </c>
    </row>
    <row r="626" spans="2:2" x14ac:dyDescent="0.2">
      <c r="B626" s="23" t="str">
        <f t="shared" si="14"/>
        <v/>
      </c>
    </row>
    <row r="627" spans="2:2" x14ac:dyDescent="0.2">
      <c r="B627" s="23" t="str">
        <f t="shared" si="14"/>
        <v/>
      </c>
    </row>
    <row r="628" spans="2:2" x14ac:dyDescent="0.2">
      <c r="B628" s="23" t="str">
        <f t="shared" si="14"/>
        <v/>
      </c>
    </row>
    <row r="629" spans="2:2" x14ac:dyDescent="0.2">
      <c r="B629" s="23" t="str">
        <f t="shared" si="14"/>
        <v/>
      </c>
    </row>
    <row r="630" spans="2:2" x14ac:dyDescent="0.2">
      <c r="B630" s="23" t="str">
        <f t="shared" si="14"/>
        <v/>
      </c>
    </row>
    <row r="631" spans="2:2" x14ac:dyDescent="0.2">
      <c r="B631" s="23" t="str">
        <f t="shared" si="14"/>
        <v/>
      </c>
    </row>
    <row r="632" spans="2:2" x14ac:dyDescent="0.2">
      <c r="B632" s="23" t="str">
        <f t="shared" si="14"/>
        <v/>
      </c>
    </row>
    <row r="633" spans="2:2" x14ac:dyDescent="0.2">
      <c r="B633" s="23" t="str">
        <f t="shared" si="14"/>
        <v/>
      </c>
    </row>
    <row r="634" spans="2:2" x14ac:dyDescent="0.2">
      <c r="B634" s="23" t="str">
        <f t="shared" si="14"/>
        <v/>
      </c>
    </row>
    <row r="635" spans="2:2" x14ac:dyDescent="0.2">
      <c r="B635" s="23" t="str">
        <f t="shared" si="14"/>
        <v/>
      </c>
    </row>
    <row r="636" spans="2:2" x14ac:dyDescent="0.2">
      <c r="B636" s="23" t="str">
        <f t="shared" si="14"/>
        <v/>
      </c>
    </row>
    <row r="637" spans="2:2" x14ac:dyDescent="0.2">
      <c r="B637" s="23" t="str">
        <f t="shared" si="14"/>
        <v/>
      </c>
    </row>
    <row r="638" spans="2:2" x14ac:dyDescent="0.2">
      <c r="B638" s="23" t="str">
        <f t="shared" si="14"/>
        <v/>
      </c>
    </row>
    <row r="639" spans="2:2" x14ac:dyDescent="0.2">
      <c r="B639" s="23" t="str">
        <f t="shared" si="14"/>
        <v/>
      </c>
    </row>
    <row r="640" spans="2:2" x14ac:dyDescent="0.2">
      <c r="B640" s="23" t="str">
        <f t="shared" si="14"/>
        <v/>
      </c>
    </row>
    <row r="641" spans="2:2" x14ac:dyDescent="0.2">
      <c r="B641" s="23" t="str">
        <f t="shared" si="14"/>
        <v/>
      </c>
    </row>
    <row r="642" spans="2:2" x14ac:dyDescent="0.2">
      <c r="B642" s="23" t="str">
        <f t="shared" si="14"/>
        <v/>
      </c>
    </row>
    <row r="643" spans="2:2" x14ac:dyDescent="0.2">
      <c r="B643" s="23" t="str">
        <f t="shared" si="14"/>
        <v/>
      </c>
    </row>
    <row r="644" spans="2:2" x14ac:dyDescent="0.2">
      <c r="B644" s="23" t="str">
        <f t="shared" si="14"/>
        <v/>
      </c>
    </row>
    <row r="645" spans="2:2" x14ac:dyDescent="0.2">
      <c r="B645" s="23" t="str">
        <f t="shared" ref="B645:B708" si="15">IF(OR(A645="(blank)",A645=""),"",1)</f>
        <v/>
      </c>
    </row>
    <row r="646" spans="2:2" x14ac:dyDescent="0.2">
      <c r="B646" s="23" t="str">
        <f t="shared" si="15"/>
        <v/>
      </c>
    </row>
    <row r="647" spans="2:2" x14ac:dyDescent="0.2">
      <c r="B647" s="23" t="str">
        <f t="shared" si="15"/>
        <v/>
      </c>
    </row>
    <row r="648" spans="2:2" x14ac:dyDescent="0.2">
      <c r="B648" s="23" t="str">
        <f t="shared" si="15"/>
        <v/>
      </c>
    </row>
    <row r="649" spans="2:2" x14ac:dyDescent="0.2">
      <c r="B649" s="23" t="str">
        <f t="shared" si="15"/>
        <v/>
      </c>
    </row>
    <row r="650" spans="2:2" x14ac:dyDescent="0.2">
      <c r="B650" s="23" t="str">
        <f t="shared" si="15"/>
        <v/>
      </c>
    </row>
    <row r="651" spans="2:2" x14ac:dyDescent="0.2">
      <c r="B651" s="23" t="str">
        <f t="shared" si="15"/>
        <v/>
      </c>
    </row>
    <row r="652" spans="2:2" x14ac:dyDescent="0.2">
      <c r="B652" s="23" t="str">
        <f t="shared" si="15"/>
        <v/>
      </c>
    </row>
    <row r="653" spans="2:2" x14ac:dyDescent="0.2">
      <c r="B653" s="23" t="str">
        <f t="shared" si="15"/>
        <v/>
      </c>
    </row>
    <row r="654" spans="2:2" x14ac:dyDescent="0.2">
      <c r="B654" s="23" t="str">
        <f t="shared" si="15"/>
        <v/>
      </c>
    </row>
    <row r="655" spans="2:2" x14ac:dyDescent="0.2">
      <c r="B655" s="23" t="str">
        <f t="shared" si="15"/>
        <v/>
      </c>
    </row>
    <row r="656" spans="2:2" x14ac:dyDescent="0.2">
      <c r="B656" s="23" t="str">
        <f t="shared" si="15"/>
        <v/>
      </c>
    </row>
    <row r="657" spans="2:2" x14ac:dyDescent="0.2">
      <c r="B657" s="23" t="str">
        <f t="shared" si="15"/>
        <v/>
      </c>
    </row>
    <row r="658" spans="2:2" x14ac:dyDescent="0.2">
      <c r="B658" s="23" t="str">
        <f t="shared" si="15"/>
        <v/>
      </c>
    </row>
    <row r="659" spans="2:2" x14ac:dyDescent="0.2">
      <c r="B659" s="23" t="str">
        <f t="shared" si="15"/>
        <v/>
      </c>
    </row>
    <row r="660" spans="2:2" x14ac:dyDescent="0.2">
      <c r="B660" s="23" t="str">
        <f t="shared" si="15"/>
        <v/>
      </c>
    </row>
    <row r="661" spans="2:2" x14ac:dyDescent="0.2">
      <c r="B661" s="23" t="str">
        <f t="shared" si="15"/>
        <v/>
      </c>
    </row>
    <row r="662" spans="2:2" x14ac:dyDescent="0.2">
      <c r="B662" s="23" t="str">
        <f t="shared" si="15"/>
        <v/>
      </c>
    </row>
    <row r="663" spans="2:2" x14ac:dyDescent="0.2">
      <c r="B663" s="23" t="str">
        <f t="shared" si="15"/>
        <v/>
      </c>
    </row>
    <row r="664" spans="2:2" x14ac:dyDescent="0.2">
      <c r="B664" s="23" t="str">
        <f t="shared" si="15"/>
        <v/>
      </c>
    </row>
    <row r="665" spans="2:2" x14ac:dyDescent="0.2">
      <c r="B665" s="23" t="str">
        <f t="shared" si="15"/>
        <v/>
      </c>
    </row>
    <row r="666" spans="2:2" x14ac:dyDescent="0.2">
      <c r="B666" s="23" t="str">
        <f t="shared" si="15"/>
        <v/>
      </c>
    </row>
    <row r="667" spans="2:2" x14ac:dyDescent="0.2">
      <c r="B667" s="23" t="str">
        <f t="shared" si="15"/>
        <v/>
      </c>
    </row>
    <row r="668" spans="2:2" x14ac:dyDescent="0.2">
      <c r="B668" s="23" t="str">
        <f t="shared" si="15"/>
        <v/>
      </c>
    </row>
    <row r="669" spans="2:2" x14ac:dyDescent="0.2">
      <c r="B669" s="23" t="str">
        <f t="shared" si="15"/>
        <v/>
      </c>
    </row>
    <row r="670" spans="2:2" x14ac:dyDescent="0.2">
      <c r="B670" s="23" t="str">
        <f t="shared" si="15"/>
        <v/>
      </c>
    </row>
    <row r="671" spans="2:2" x14ac:dyDescent="0.2">
      <c r="B671" s="23" t="str">
        <f t="shared" si="15"/>
        <v/>
      </c>
    </row>
    <row r="672" spans="2:2" x14ac:dyDescent="0.2">
      <c r="B672" s="23" t="str">
        <f t="shared" si="15"/>
        <v/>
      </c>
    </row>
    <row r="673" spans="2:2" x14ac:dyDescent="0.2">
      <c r="B673" s="23" t="str">
        <f t="shared" si="15"/>
        <v/>
      </c>
    </row>
    <row r="674" spans="2:2" x14ac:dyDescent="0.2">
      <c r="B674" s="23" t="str">
        <f t="shared" si="15"/>
        <v/>
      </c>
    </row>
    <row r="675" spans="2:2" x14ac:dyDescent="0.2">
      <c r="B675" s="23" t="str">
        <f t="shared" si="15"/>
        <v/>
      </c>
    </row>
    <row r="676" spans="2:2" x14ac:dyDescent="0.2">
      <c r="B676" s="23" t="str">
        <f t="shared" si="15"/>
        <v/>
      </c>
    </row>
    <row r="677" spans="2:2" x14ac:dyDescent="0.2">
      <c r="B677" s="23" t="str">
        <f t="shared" si="15"/>
        <v/>
      </c>
    </row>
    <row r="678" spans="2:2" x14ac:dyDescent="0.2">
      <c r="B678" s="23" t="str">
        <f t="shared" si="15"/>
        <v/>
      </c>
    </row>
    <row r="679" spans="2:2" x14ac:dyDescent="0.2">
      <c r="B679" s="23" t="str">
        <f t="shared" si="15"/>
        <v/>
      </c>
    </row>
    <row r="680" spans="2:2" x14ac:dyDescent="0.2">
      <c r="B680" s="23" t="str">
        <f t="shared" si="15"/>
        <v/>
      </c>
    </row>
    <row r="681" spans="2:2" x14ac:dyDescent="0.2">
      <c r="B681" s="23" t="str">
        <f t="shared" si="15"/>
        <v/>
      </c>
    </row>
    <row r="682" spans="2:2" x14ac:dyDescent="0.2">
      <c r="B682" s="23" t="str">
        <f t="shared" si="15"/>
        <v/>
      </c>
    </row>
    <row r="683" spans="2:2" x14ac:dyDescent="0.2">
      <c r="B683" s="23" t="str">
        <f t="shared" si="15"/>
        <v/>
      </c>
    </row>
    <row r="684" spans="2:2" x14ac:dyDescent="0.2">
      <c r="B684" s="23" t="str">
        <f t="shared" si="15"/>
        <v/>
      </c>
    </row>
    <row r="685" spans="2:2" x14ac:dyDescent="0.2">
      <c r="B685" s="23" t="str">
        <f t="shared" si="15"/>
        <v/>
      </c>
    </row>
    <row r="686" spans="2:2" x14ac:dyDescent="0.2">
      <c r="B686" s="23" t="str">
        <f t="shared" si="15"/>
        <v/>
      </c>
    </row>
    <row r="687" spans="2:2" x14ac:dyDescent="0.2">
      <c r="B687" s="23" t="str">
        <f t="shared" si="15"/>
        <v/>
      </c>
    </row>
    <row r="688" spans="2:2" x14ac:dyDescent="0.2">
      <c r="B688" s="23" t="str">
        <f t="shared" si="15"/>
        <v/>
      </c>
    </row>
    <row r="689" spans="2:2" x14ac:dyDescent="0.2">
      <c r="B689" s="23" t="str">
        <f t="shared" si="15"/>
        <v/>
      </c>
    </row>
    <row r="690" spans="2:2" x14ac:dyDescent="0.2">
      <c r="B690" s="23" t="str">
        <f t="shared" si="15"/>
        <v/>
      </c>
    </row>
    <row r="691" spans="2:2" x14ac:dyDescent="0.2">
      <c r="B691" s="23" t="str">
        <f t="shared" si="15"/>
        <v/>
      </c>
    </row>
    <row r="692" spans="2:2" x14ac:dyDescent="0.2">
      <c r="B692" s="23" t="str">
        <f t="shared" si="15"/>
        <v/>
      </c>
    </row>
    <row r="693" spans="2:2" x14ac:dyDescent="0.2">
      <c r="B693" s="23" t="str">
        <f t="shared" si="15"/>
        <v/>
      </c>
    </row>
    <row r="694" spans="2:2" x14ac:dyDescent="0.2">
      <c r="B694" s="23" t="str">
        <f t="shared" si="15"/>
        <v/>
      </c>
    </row>
    <row r="695" spans="2:2" x14ac:dyDescent="0.2">
      <c r="B695" s="23" t="str">
        <f t="shared" si="15"/>
        <v/>
      </c>
    </row>
    <row r="696" spans="2:2" x14ac:dyDescent="0.2">
      <c r="B696" s="23" t="str">
        <f t="shared" si="15"/>
        <v/>
      </c>
    </row>
    <row r="697" spans="2:2" x14ac:dyDescent="0.2">
      <c r="B697" s="23" t="str">
        <f t="shared" si="15"/>
        <v/>
      </c>
    </row>
    <row r="698" spans="2:2" x14ac:dyDescent="0.2">
      <c r="B698" s="23" t="str">
        <f t="shared" si="15"/>
        <v/>
      </c>
    </row>
    <row r="699" spans="2:2" x14ac:dyDescent="0.2">
      <c r="B699" s="23" t="str">
        <f t="shared" si="15"/>
        <v/>
      </c>
    </row>
    <row r="700" spans="2:2" x14ac:dyDescent="0.2">
      <c r="B700" s="23" t="str">
        <f t="shared" si="15"/>
        <v/>
      </c>
    </row>
    <row r="701" spans="2:2" x14ac:dyDescent="0.2">
      <c r="B701" s="23" t="str">
        <f t="shared" si="15"/>
        <v/>
      </c>
    </row>
    <row r="702" spans="2:2" x14ac:dyDescent="0.2">
      <c r="B702" s="23" t="str">
        <f t="shared" si="15"/>
        <v/>
      </c>
    </row>
    <row r="703" spans="2:2" x14ac:dyDescent="0.2">
      <c r="B703" s="23" t="str">
        <f t="shared" si="15"/>
        <v/>
      </c>
    </row>
    <row r="704" spans="2:2" x14ac:dyDescent="0.2">
      <c r="B704" s="23" t="str">
        <f t="shared" si="15"/>
        <v/>
      </c>
    </row>
    <row r="705" spans="2:2" x14ac:dyDescent="0.2">
      <c r="B705" s="23" t="str">
        <f t="shared" si="15"/>
        <v/>
      </c>
    </row>
    <row r="706" spans="2:2" x14ac:dyDescent="0.2">
      <c r="B706" s="23" t="str">
        <f t="shared" si="15"/>
        <v/>
      </c>
    </row>
    <row r="707" spans="2:2" x14ac:dyDescent="0.2">
      <c r="B707" s="23" t="str">
        <f t="shared" si="15"/>
        <v/>
      </c>
    </row>
    <row r="708" spans="2:2" x14ac:dyDescent="0.2">
      <c r="B708" s="23" t="str">
        <f t="shared" si="15"/>
        <v/>
      </c>
    </row>
    <row r="709" spans="2:2" x14ac:dyDescent="0.2">
      <c r="B709" s="23" t="str">
        <f t="shared" ref="B709:B772" si="16">IF(OR(A709="(blank)",A709=""),"",1)</f>
        <v/>
      </c>
    </row>
    <row r="710" spans="2:2" x14ac:dyDescent="0.2">
      <c r="B710" s="23" t="str">
        <f t="shared" si="16"/>
        <v/>
      </c>
    </row>
    <row r="711" spans="2:2" x14ac:dyDescent="0.2">
      <c r="B711" s="23" t="str">
        <f t="shared" si="16"/>
        <v/>
      </c>
    </row>
    <row r="712" spans="2:2" x14ac:dyDescent="0.2">
      <c r="B712" s="23" t="str">
        <f t="shared" si="16"/>
        <v/>
      </c>
    </row>
    <row r="713" spans="2:2" x14ac:dyDescent="0.2">
      <c r="B713" s="23" t="str">
        <f t="shared" si="16"/>
        <v/>
      </c>
    </row>
    <row r="714" spans="2:2" x14ac:dyDescent="0.2">
      <c r="B714" s="23" t="str">
        <f t="shared" si="16"/>
        <v/>
      </c>
    </row>
    <row r="715" spans="2:2" x14ac:dyDescent="0.2">
      <c r="B715" s="23" t="str">
        <f t="shared" si="16"/>
        <v/>
      </c>
    </row>
    <row r="716" spans="2:2" x14ac:dyDescent="0.2">
      <c r="B716" s="23" t="str">
        <f t="shared" si="16"/>
        <v/>
      </c>
    </row>
    <row r="717" spans="2:2" x14ac:dyDescent="0.2">
      <c r="B717" s="23" t="str">
        <f t="shared" si="16"/>
        <v/>
      </c>
    </row>
    <row r="718" spans="2:2" x14ac:dyDescent="0.2">
      <c r="B718" s="23" t="str">
        <f t="shared" si="16"/>
        <v/>
      </c>
    </row>
    <row r="719" spans="2:2" x14ac:dyDescent="0.2">
      <c r="B719" s="23" t="str">
        <f t="shared" si="16"/>
        <v/>
      </c>
    </row>
    <row r="720" spans="2:2" x14ac:dyDescent="0.2">
      <c r="B720" s="23" t="str">
        <f t="shared" si="16"/>
        <v/>
      </c>
    </row>
    <row r="721" spans="2:2" x14ac:dyDescent="0.2">
      <c r="B721" s="23" t="str">
        <f t="shared" si="16"/>
        <v/>
      </c>
    </row>
    <row r="722" spans="2:2" x14ac:dyDescent="0.2">
      <c r="B722" s="23" t="str">
        <f t="shared" si="16"/>
        <v/>
      </c>
    </row>
    <row r="723" spans="2:2" x14ac:dyDescent="0.2">
      <c r="B723" s="23" t="str">
        <f t="shared" si="16"/>
        <v/>
      </c>
    </row>
    <row r="724" spans="2:2" x14ac:dyDescent="0.2">
      <c r="B724" s="23" t="str">
        <f t="shared" si="16"/>
        <v/>
      </c>
    </row>
    <row r="725" spans="2:2" x14ac:dyDescent="0.2">
      <c r="B725" s="23" t="str">
        <f t="shared" si="16"/>
        <v/>
      </c>
    </row>
    <row r="726" spans="2:2" x14ac:dyDescent="0.2">
      <c r="B726" s="23" t="str">
        <f t="shared" si="16"/>
        <v/>
      </c>
    </row>
    <row r="727" spans="2:2" x14ac:dyDescent="0.2">
      <c r="B727" s="23" t="str">
        <f t="shared" si="16"/>
        <v/>
      </c>
    </row>
    <row r="728" spans="2:2" x14ac:dyDescent="0.2">
      <c r="B728" s="23" t="str">
        <f t="shared" si="16"/>
        <v/>
      </c>
    </row>
    <row r="729" spans="2:2" x14ac:dyDescent="0.2">
      <c r="B729" s="23" t="str">
        <f t="shared" si="16"/>
        <v/>
      </c>
    </row>
    <row r="730" spans="2:2" x14ac:dyDescent="0.2">
      <c r="B730" s="23" t="str">
        <f t="shared" si="16"/>
        <v/>
      </c>
    </row>
    <row r="731" spans="2:2" x14ac:dyDescent="0.2">
      <c r="B731" s="23" t="str">
        <f t="shared" si="16"/>
        <v/>
      </c>
    </row>
    <row r="732" spans="2:2" x14ac:dyDescent="0.2">
      <c r="B732" s="23" t="str">
        <f t="shared" si="16"/>
        <v/>
      </c>
    </row>
    <row r="733" spans="2:2" x14ac:dyDescent="0.2">
      <c r="B733" s="23" t="str">
        <f t="shared" si="16"/>
        <v/>
      </c>
    </row>
    <row r="734" spans="2:2" x14ac:dyDescent="0.2">
      <c r="B734" s="23" t="str">
        <f t="shared" si="16"/>
        <v/>
      </c>
    </row>
    <row r="735" spans="2:2" x14ac:dyDescent="0.2">
      <c r="B735" s="23" t="str">
        <f t="shared" si="16"/>
        <v/>
      </c>
    </row>
    <row r="736" spans="2:2" x14ac:dyDescent="0.2">
      <c r="B736" s="23" t="str">
        <f t="shared" si="16"/>
        <v/>
      </c>
    </row>
    <row r="737" spans="2:2" x14ac:dyDescent="0.2">
      <c r="B737" s="23" t="str">
        <f t="shared" si="16"/>
        <v/>
      </c>
    </row>
    <row r="738" spans="2:2" x14ac:dyDescent="0.2">
      <c r="B738" s="23" t="str">
        <f t="shared" si="16"/>
        <v/>
      </c>
    </row>
    <row r="739" spans="2:2" x14ac:dyDescent="0.2">
      <c r="B739" s="23" t="str">
        <f t="shared" si="16"/>
        <v/>
      </c>
    </row>
    <row r="740" spans="2:2" x14ac:dyDescent="0.2">
      <c r="B740" s="23" t="str">
        <f t="shared" si="16"/>
        <v/>
      </c>
    </row>
    <row r="741" spans="2:2" x14ac:dyDescent="0.2">
      <c r="B741" s="23" t="str">
        <f t="shared" si="16"/>
        <v/>
      </c>
    </row>
    <row r="742" spans="2:2" x14ac:dyDescent="0.2">
      <c r="B742" s="23" t="str">
        <f t="shared" si="16"/>
        <v/>
      </c>
    </row>
    <row r="743" spans="2:2" x14ac:dyDescent="0.2">
      <c r="B743" s="23" t="str">
        <f t="shared" si="16"/>
        <v/>
      </c>
    </row>
    <row r="744" spans="2:2" x14ac:dyDescent="0.2">
      <c r="B744" s="23" t="str">
        <f t="shared" si="16"/>
        <v/>
      </c>
    </row>
    <row r="745" spans="2:2" x14ac:dyDescent="0.2">
      <c r="B745" s="23" t="str">
        <f t="shared" si="16"/>
        <v/>
      </c>
    </row>
    <row r="746" spans="2:2" x14ac:dyDescent="0.2">
      <c r="B746" s="23" t="str">
        <f t="shared" si="16"/>
        <v/>
      </c>
    </row>
    <row r="747" spans="2:2" x14ac:dyDescent="0.2">
      <c r="B747" s="23" t="str">
        <f t="shared" si="16"/>
        <v/>
      </c>
    </row>
    <row r="748" spans="2:2" x14ac:dyDescent="0.2">
      <c r="B748" s="23" t="str">
        <f t="shared" si="16"/>
        <v/>
      </c>
    </row>
    <row r="749" spans="2:2" x14ac:dyDescent="0.2">
      <c r="B749" s="23" t="str">
        <f t="shared" si="16"/>
        <v/>
      </c>
    </row>
    <row r="750" spans="2:2" x14ac:dyDescent="0.2">
      <c r="B750" s="23" t="str">
        <f t="shared" si="16"/>
        <v/>
      </c>
    </row>
    <row r="751" spans="2:2" x14ac:dyDescent="0.2">
      <c r="B751" s="23" t="str">
        <f t="shared" si="16"/>
        <v/>
      </c>
    </row>
    <row r="752" spans="2:2" x14ac:dyDescent="0.2">
      <c r="B752" s="23" t="str">
        <f t="shared" si="16"/>
        <v/>
      </c>
    </row>
    <row r="753" spans="2:2" x14ac:dyDescent="0.2">
      <c r="B753" s="23" t="str">
        <f t="shared" si="16"/>
        <v/>
      </c>
    </row>
    <row r="754" spans="2:2" x14ac:dyDescent="0.2">
      <c r="B754" s="23" t="str">
        <f t="shared" si="16"/>
        <v/>
      </c>
    </row>
    <row r="755" spans="2:2" x14ac:dyDescent="0.2">
      <c r="B755" s="23" t="str">
        <f t="shared" si="16"/>
        <v/>
      </c>
    </row>
    <row r="756" spans="2:2" x14ac:dyDescent="0.2">
      <c r="B756" s="23" t="str">
        <f t="shared" si="16"/>
        <v/>
      </c>
    </row>
    <row r="757" spans="2:2" x14ac:dyDescent="0.2">
      <c r="B757" s="23" t="str">
        <f t="shared" si="16"/>
        <v/>
      </c>
    </row>
    <row r="758" spans="2:2" x14ac:dyDescent="0.2">
      <c r="B758" s="23" t="str">
        <f t="shared" si="16"/>
        <v/>
      </c>
    </row>
    <row r="759" spans="2:2" x14ac:dyDescent="0.2">
      <c r="B759" s="23" t="str">
        <f t="shared" si="16"/>
        <v/>
      </c>
    </row>
    <row r="760" spans="2:2" x14ac:dyDescent="0.2">
      <c r="B760" s="23" t="str">
        <f t="shared" si="16"/>
        <v/>
      </c>
    </row>
    <row r="761" spans="2:2" x14ac:dyDescent="0.2">
      <c r="B761" s="23" t="str">
        <f t="shared" si="16"/>
        <v/>
      </c>
    </row>
    <row r="762" spans="2:2" x14ac:dyDescent="0.2">
      <c r="B762" s="23" t="str">
        <f t="shared" si="16"/>
        <v/>
      </c>
    </row>
    <row r="763" spans="2:2" x14ac:dyDescent="0.2">
      <c r="B763" s="23" t="str">
        <f t="shared" si="16"/>
        <v/>
      </c>
    </row>
    <row r="764" spans="2:2" x14ac:dyDescent="0.2">
      <c r="B764" s="23" t="str">
        <f t="shared" si="16"/>
        <v/>
      </c>
    </row>
    <row r="765" spans="2:2" x14ac:dyDescent="0.2">
      <c r="B765" s="23" t="str">
        <f t="shared" si="16"/>
        <v/>
      </c>
    </row>
    <row r="766" spans="2:2" x14ac:dyDescent="0.2">
      <c r="B766" s="23" t="str">
        <f t="shared" si="16"/>
        <v/>
      </c>
    </row>
    <row r="767" spans="2:2" x14ac:dyDescent="0.2">
      <c r="B767" s="23" t="str">
        <f t="shared" si="16"/>
        <v/>
      </c>
    </row>
    <row r="768" spans="2:2" x14ac:dyDescent="0.2">
      <c r="B768" s="23" t="str">
        <f t="shared" si="16"/>
        <v/>
      </c>
    </row>
    <row r="769" spans="2:2" x14ac:dyDescent="0.2">
      <c r="B769" s="23" t="str">
        <f t="shared" si="16"/>
        <v/>
      </c>
    </row>
    <row r="770" spans="2:2" x14ac:dyDescent="0.2">
      <c r="B770" s="23" t="str">
        <f t="shared" si="16"/>
        <v/>
      </c>
    </row>
    <row r="771" spans="2:2" x14ac:dyDescent="0.2">
      <c r="B771" s="23" t="str">
        <f t="shared" si="16"/>
        <v/>
      </c>
    </row>
    <row r="772" spans="2:2" x14ac:dyDescent="0.2">
      <c r="B772" s="23" t="str">
        <f t="shared" si="16"/>
        <v/>
      </c>
    </row>
    <row r="773" spans="2:2" x14ac:dyDescent="0.2">
      <c r="B773" s="23" t="str">
        <f t="shared" ref="B773:B836" si="17">IF(OR(A773="(blank)",A773=""),"",1)</f>
        <v/>
      </c>
    </row>
    <row r="774" spans="2:2" x14ac:dyDescent="0.2">
      <c r="B774" s="23" t="str">
        <f t="shared" si="17"/>
        <v/>
      </c>
    </row>
    <row r="775" spans="2:2" x14ac:dyDescent="0.2">
      <c r="B775" s="23" t="str">
        <f t="shared" si="17"/>
        <v/>
      </c>
    </row>
    <row r="776" spans="2:2" x14ac:dyDescent="0.2">
      <c r="B776" s="23" t="str">
        <f t="shared" si="17"/>
        <v/>
      </c>
    </row>
    <row r="777" spans="2:2" x14ac:dyDescent="0.2">
      <c r="B777" s="23" t="str">
        <f t="shared" si="17"/>
        <v/>
      </c>
    </row>
    <row r="778" spans="2:2" x14ac:dyDescent="0.2">
      <c r="B778" s="23" t="str">
        <f t="shared" si="17"/>
        <v/>
      </c>
    </row>
    <row r="779" spans="2:2" x14ac:dyDescent="0.2">
      <c r="B779" s="23" t="str">
        <f t="shared" si="17"/>
        <v/>
      </c>
    </row>
    <row r="780" spans="2:2" x14ac:dyDescent="0.2">
      <c r="B780" s="23" t="str">
        <f t="shared" si="17"/>
        <v/>
      </c>
    </row>
    <row r="781" spans="2:2" x14ac:dyDescent="0.2">
      <c r="B781" s="23" t="str">
        <f t="shared" si="17"/>
        <v/>
      </c>
    </row>
    <row r="782" spans="2:2" x14ac:dyDescent="0.2">
      <c r="B782" s="23" t="str">
        <f t="shared" si="17"/>
        <v/>
      </c>
    </row>
    <row r="783" spans="2:2" x14ac:dyDescent="0.2">
      <c r="B783" s="23" t="str">
        <f t="shared" si="17"/>
        <v/>
      </c>
    </row>
    <row r="784" spans="2:2" x14ac:dyDescent="0.2">
      <c r="B784" s="23" t="str">
        <f t="shared" si="17"/>
        <v/>
      </c>
    </row>
    <row r="785" spans="2:2" x14ac:dyDescent="0.2">
      <c r="B785" s="23" t="str">
        <f t="shared" si="17"/>
        <v/>
      </c>
    </row>
    <row r="786" spans="2:2" x14ac:dyDescent="0.2">
      <c r="B786" s="23" t="str">
        <f t="shared" si="17"/>
        <v/>
      </c>
    </row>
    <row r="787" spans="2:2" x14ac:dyDescent="0.2">
      <c r="B787" s="23" t="str">
        <f t="shared" si="17"/>
        <v/>
      </c>
    </row>
    <row r="788" spans="2:2" x14ac:dyDescent="0.2">
      <c r="B788" s="23" t="str">
        <f t="shared" si="17"/>
        <v/>
      </c>
    </row>
    <row r="789" spans="2:2" x14ac:dyDescent="0.2">
      <c r="B789" s="23" t="str">
        <f t="shared" si="17"/>
        <v/>
      </c>
    </row>
    <row r="790" spans="2:2" x14ac:dyDescent="0.2">
      <c r="B790" s="23" t="str">
        <f t="shared" si="17"/>
        <v/>
      </c>
    </row>
    <row r="791" spans="2:2" x14ac:dyDescent="0.2">
      <c r="B791" s="23" t="str">
        <f t="shared" si="17"/>
        <v/>
      </c>
    </row>
    <row r="792" spans="2:2" x14ac:dyDescent="0.2">
      <c r="B792" s="23" t="str">
        <f t="shared" si="17"/>
        <v/>
      </c>
    </row>
    <row r="793" spans="2:2" x14ac:dyDescent="0.2">
      <c r="B793" s="23" t="str">
        <f t="shared" si="17"/>
        <v/>
      </c>
    </row>
    <row r="794" spans="2:2" x14ac:dyDescent="0.2">
      <c r="B794" s="23" t="str">
        <f t="shared" si="17"/>
        <v/>
      </c>
    </row>
    <row r="795" spans="2:2" x14ac:dyDescent="0.2">
      <c r="B795" s="23" t="str">
        <f t="shared" si="17"/>
        <v/>
      </c>
    </row>
    <row r="796" spans="2:2" x14ac:dyDescent="0.2">
      <c r="B796" s="23" t="str">
        <f t="shared" si="17"/>
        <v/>
      </c>
    </row>
    <row r="797" spans="2:2" x14ac:dyDescent="0.2">
      <c r="B797" s="23" t="str">
        <f t="shared" si="17"/>
        <v/>
      </c>
    </row>
    <row r="798" spans="2:2" x14ac:dyDescent="0.2">
      <c r="B798" s="23" t="str">
        <f t="shared" si="17"/>
        <v/>
      </c>
    </row>
    <row r="799" spans="2:2" x14ac:dyDescent="0.2">
      <c r="B799" s="23" t="str">
        <f t="shared" si="17"/>
        <v/>
      </c>
    </row>
    <row r="800" spans="2:2" x14ac:dyDescent="0.2">
      <c r="B800" s="23" t="str">
        <f t="shared" si="17"/>
        <v/>
      </c>
    </row>
    <row r="801" spans="2:2" x14ac:dyDescent="0.2">
      <c r="B801" s="23" t="str">
        <f t="shared" si="17"/>
        <v/>
      </c>
    </row>
    <row r="802" spans="2:2" x14ac:dyDescent="0.2">
      <c r="B802" s="23" t="str">
        <f t="shared" si="17"/>
        <v/>
      </c>
    </row>
    <row r="803" spans="2:2" x14ac:dyDescent="0.2">
      <c r="B803" s="23" t="str">
        <f t="shared" si="17"/>
        <v/>
      </c>
    </row>
    <row r="804" spans="2:2" x14ac:dyDescent="0.2">
      <c r="B804" s="23" t="str">
        <f t="shared" si="17"/>
        <v/>
      </c>
    </row>
    <row r="805" spans="2:2" x14ac:dyDescent="0.2">
      <c r="B805" s="23" t="str">
        <f t="shared" si="17"/>
        <v/>
      </c>
    </row>
    <row r="806" spans="2:2" x14ac:dyDescent="0.2">
      <c r="B806" s="23" t="str">
        <f t="shared" si="17"/>
        <v/>
      </c>
    </row>
    <row r="807" spans="2:2" x14ac:dyDescent="0.2">
      <c r="B807" s="23" t="str">
        <f t="shared" si="17"/>
        <v/>
      </c>
    </row>
    <row r="808" spans="2:2" x14ac:dyDescent="0.2">
      <c r="B808" s="23" t="str">
        <f t="shared" si="17"/>
        <v/>
      </c>
    </row>
    <row r="809" spans="2:2" x14ac:dyDescent="0.2">
      <c r="B809" s="23" t="str">
        <f t="shared" si="17"/>
        <v/>
      </c>
    </row>
    <row r="810" spans="2:2" x14ac:dyDescent="0.2">
      <c r="B810" s="23" t="str">
        <f t="shared" si="17"/>
        <v/>
      </c>
    </row>
    <row r="811" spans="2:2" x14ac:dyDescent="0.2">
      <c r="B811" s="23" t="str">
        <f t="shared" si="17"/>
        <v/>
      </c>
    </row>
    <row r="812" spans="2:2" x14ac:dyDescent="0.2">
      <c r="B812" s="23" t="str">
        <f t="shared" si="17"/>
        <v/>
      </c>
    </row>
    <row r="813" spans="2:2" x14ac:dyDescent="0.2">
      <c r="B813" s="23" t="str">
        <f t="shared" si="17"/>
        <v/>
      </c>
    </row>
    <row r="814" spans="2:2" x14ac:dyDescent="0.2">
      <c r="B814" s="23" t="str">
        <f t="shared" si="17"/>
        <v/>
      </c>
    </row>
    <row r="815" spans="2:2" x14ac:dyDescent="0.2">
      <c r="B815" s="23" t="str">
        <f t="shared" si="17"/>
        <v/>
      </c>
    </row>
    <row r="816" spans="2:2" x14ac:dyDescent="0.2">
      <c r="B816" s="23" t="str">
        <f t="shared" si="17"/>
        <v/>
      </c>
    </row>
    <row r="817" spans="2:2" x14ac:dyDescent="0.2">
      <c r="B817" s="23" t="str">
        <f t="shared" si="17"/>
        <v/>
      </c>
    </row>
    <row r="818" spans="2:2" x14ac:dyDescent="0.2">
      <c r="B818" s="23" t="str">
        <f t="shared" si="17"/>
        <v/>
      </c>
    </row>
    <row r="819" spans="2:2" x14ac:dyDescent="0.2">
      <c r="B819" s="23" t="str">
        <f t="shared" si="17"/>
        <v/>
      </c>
    </row>
    <row r="820" spans="2:2" x14ac:dyDescent="0.2">
      <c r="B820" s="23" t="str">
        <f t="shared" si="17"/>
        <v/>
      </c>
    </row>
    <row r="821" spans="2:2" x14ac:dyDescent="0.2">
      <c r="B821" s="23" t="str">
        <f t="shared" si="17"/>
        <v/>
      </c>
    </row>
    <row r="822" spans="2:2" x14ac:dyDescent="0.2">
      <c r="B822" s="23" t="str">
        <f t="shared" si="17"/>
        <v/>
      </c>
    </row>
    <row r="823" spans="2:2" x14ac:dyDescent="0.2">
      <c r="B823" s="23" t="str">
        <f t="shared" si="17"/>
        <v/>
      </c>
    </row>
    <row r="824" spans="2:2" x14ac:dyDescent="0.2">
      <c r="B824" s="23" t="str">
        <f t="shared" si="17"/>
        <v/>
      </c>
    </row>
    <row r="825" spans="2:2" x14ac:dyDescent="0.2">
      <c r="B825" s="23" t="str">
        <f t="shared" si="17"/>
        <v/>
      </c>
    </row>
    <row r="826" spans="2:2" x14ac:dyDescent="0.2">
      <c r="B826" s="23" t="str">
        <f t="shared" si="17"/>
        <v/>
      </c>
    </row>
    <row r="827" spans="2:2" x14ac:dyDescent="0.2">
      <c r="B827" s="23" t="str">
        <f t="shared" si="17"/>
        <v/>
      </c>
    </row>
    <row r="828" spans="2:2" x14ac:dyDescent="0.2">
      <c r="B828" s="23" t="str">
        <f t="shared" si="17"/>
        <v/>
      </c>
    </row>
    <row r="829" spans="2:2" x14ac:dyDescent="0.2">
      <c r="B829" s="23" t="str">
        <f t="shared" si="17"/>
        <v/>
      </c>
    </row>
    <row r="830" spans="2:2" x14ac:dyDescent="0.2">
      <c r="B830" s="23" t="str">
        <f t="shared" si="17"/>
        <v/>
      </c>
    </row>
    <row r="831" spans="2:2" x14ac:dyDescent="0.2">
      <c r="B831" s="23" t="str">
        <f t="shared" si="17"/>
        <v/>
      </c>
    </row>
    <row r="832" spans="2:2" x14ac:dyDescent="0.2">
      <c r="B832" s="23" t="str">
        <f t="shared" si="17"/>
        <v/>
      </c>
    </row>
    <row r="833" spans="2:2" x14ac:dyDescent="0.2">
      <c r="B833" s="23" t="str">
        <f t="shared" si="17"/>
        <v/>
      </c>
    </row>
    <row r="834" spans="2:2" x14ac:dyDescent="0.2">
      <c r="B834" s="23" t="str">
        <f t="shared" si="17"/>
        <v/>
      </c>
    </row>
    <row r="835" spans="2:2" x14ac:dyDescent="0.2">
      <c r="B835" s="23" t="str">
        <f t="shared" si="17"/>
        <v/>
      </c>
    </row>
    <row r="836" spans="2:2" x14ac:dyDescent="0.2">
      <c r="B836" s="23" t="str">
        <f t="shared" si="17"/>
        <v/>
      </c>
    </row>
    <row r="837" spans="2:2" x14ac:dyDescent="0.2">
      <c r="B837" s="23" t="str">
        <f t="shared" ref="B837:B900" si="18">IF(OR(A837="(blank)",A837=""),"",1)</f>
        <v/>
      </c>
    </row>
    <row r="838" spans="2:2" x14ac:dyDescent="0.2">
      <c r="B838" s="23" t="str">
        <f t="shared" si="18"/>
        <v/>
      </c>
    </row>
    <row r="839" spans="2:2" x14ac:dyDescent="0.2">
      <c r="B839" s="23" t="str">
        <f t="shared" si="18"/>
        <v/>
      </c>
    </row>
    <row r="840" spans="2:2" x14ac:dyDescent="0.2">
      <c r="B840" s="23" t="str">
        <f t="shared" si="18"/>
        <v/>
      </c>
    </row>
    <row r="841" spans="2:2" x14ac:dyDescent="0.2">
      <c r="B841" s="23" t="str">
        <f t="shared" si="18"/>
        <v/>
      </c>
    </row>
    <row r="842" spans="2:2" x14ac:dyDescent="0.2">
      <c r="B842" s="23" t="str">
        <f t="shared" si="18"/>
        <v/>
      </c>
    </row>
    <row r="843" spans="2:2" x14ac:dyDescent="0.2">
      <c r="B843" s="23" t="str">
        <f t="shared" si="18"/>
        <v/>
      </c>
    </row>
    <row r="844" spans="2:2" x14ac:dyDescent="0.2">
      <c r="B844" s="23" t="str">
        <f t="shared" si="18"/>
        <v/>
      </c>
    </row>
    <row r="845" spans="2:2" x14ac:dyDescent="0.2">
      <c r="B845" s="23" t="str">
        <f t="shared" si="18"/>
        <v/>
      </c>
    </row>
    <row r="846" spans="2:2" x14ac:dyDescent="0.2">
      <c r="B846" s="23" t="str">
        <f t="shared" si="18"/>
        <v/>
      </c>
    </row>
    <row r="847" spans="2:2" x14ac:dyDescent="0.2">
      <c r="B847" s="23" t="str">
        <f t="shared" si="18"/>
        <v/>
      </c>
    </row>
    <row r="848" spans="2:2" x14ac:dyDescent="0.2">
      <c r="B848" s="23" t="str">
        <f t="shared" si="18"/>
        <v/>
      </c>
    </row>
    <row r="849" spans="2:2" x14ac:dyDescent="0.2">
      <c r="B849" s="23" t="str">
        <f t="shared" si="18"/>
        <v/>
      </c>
    </row>
    <row r="850" spans="2:2" x14ac:dyDescent="0.2">
      <c r="B850" s="23" t="str">
        <f t="shared" si="18"/>
        <v/>
      </c>
    </row>
    <row r="851" spans="2:2" x14ac:dyDescent="0.2">
      <c r="B851" s="23" t="str">
        <f t="shared" si="18"/>
        <v/>
      </c>
    </row>
    <row r="852" spans="2:2" x14ac:dyDescent="0.2">
      <c r="B852" s="23" t="str">
        <f t="shared" si="18"/>
        <v/>
      </c>
    </row>
    <row r="853" spans="2:2" x14ac:dyDescent="0.2">
      <c r="B853" s="23" t="str">
        <f t="shared" si="18"/>
        <v/>
      </c>
    </row>
    <row r="854" spans="2:2" x14ac:dyDescent="0.2">
      <c r="B854" s="23" t="str">
        <f t="shared" si="18"/>
        <v/>
      </c>
    </row>
    <row r="855" spans="2:2" x14ac:dyDescent="0.2">
      <c r="B855" s="23" t="str">
        <f t="shared" si="18"/>
        <v/>
      </c>
    </row>
    <row r="856" spans="2:2" x14ac:dyDescent="0.2">
      <c r="B856" s="23" t="str">
        <f t="shared" si="18"/>
        <v/>
      </c>
    </row>
    <row r="857" spans="2:2" x14ac:dyDescent="0.2">
      <c r="B857" s="23" t="str">
        <f t="shared" si="18"/>
        <v/>
      </c>
    </row>
    <row r="858" spans="2:2" x14ac:dyDescent="0.2">
      <c r="B858" s="23" t="str">
        <f t="shared" si="18"/>
        <v/>
      </c>
    </row>
    <row r="859" spans="2:2" x14ac:dyDescent="0.2">
      <c r="B859" s="23" t="str">
        <f t="shared" si="18"/>
        <v/>
      </c>
    </row>
    <row r="860" spans="2:2" x14ac:dyDescent="0.2">
      <c r="B860" s="23" t="str">
        <f t="shared" si="18"/>
        <v/>
      </c>
    </row>
    <row r="861" spans="2:2" x14ac:dyDescent="0.2">
      <c r="B861" s="23" t="str">
        <f t="shared" si="18"/>
        <v/>
      </c>
    </row>
    <row r="862" spans="2:2" x14ac:dyDescent="0.2">
      <c r="B862" s="23" t="str">
        <f t="shared" si="18"/>
        <v/>
      </c>
    </row>
    <row r="863" spans="2:2" x14ac:dyDescent="0.2">
      <c r="B863" s="23" t="str">
        <f t="shared" si="18"/>
        <v/>
      </c>
    </row>
    <row r="864" spans="2:2" x14ac:dyDescent="0.2">
      <c r="B864" s="23" t="str">
        <f t="shared" si="18"/>
        <v/>
      </c>
    </row>
    <row r="865" spans="2:2" x14ac:dyDescent="0.2">
      <c r="B865" s="23" t="str">
        <f t="shared" si="18"/>
        <v/>
      </c>
    </row>
    <row r="866" spans="2:2" x14ac:dyDescent="0.2">
      <c r="B866" s="23" t="str">
        <f t="shared" si="18"/>
        <v/>
      </c>
    </row>
    <row r="867" spans="2:2" x14ac:dyDescent="0.2">
      <c r="B867" s="23" t="str">
        <f t="shared" si="18"/>
        <v/>
      </c>
    </row>
    <row r="868" spans="2:2" x14ac:dyDescent="0.2">
      <c r="B868" s="23" t="str">
        <f t="shared" si="18"/>
        <v/>
      </c>
    </row>
    <row r="869" spans="2:2" x14ac:dyDescent="0.2">
      <c r="B869" s="23" t="str">
        <f t="shared" si="18"/>
        <v/>
      </c>
    </row>
    <row r="870" spans="2:2" x14ac:dyDescent="0.2">
      <c r="B870" s="23" t="str">
        <f t="shared" si="18"/>
        <v/>
      </c>
    </row>
    <row r="871" spans="2:2" x14ac:dyDescent="0.2">
      <c r="B871" s="23" t="str">
        <f t="shared" si="18"/>
        <v/>
      </c>
    </row>
    <row r="872" spans="2:2" x14ac:dyDescent="0.2">
      <c r="B872" s="23" t="str">
        <f t="shared" si="18"/>
        <v/>
      </c>
    </row>
    <row r="873" spans="2:2" x14ac:dyDescent="0.2">
      <c r="B873" s="23" t="str">
        <f t="shared" si="18"/>
        <v/>
      </c>
    </row>
    <row r="874" spans="2:2" x14ac:dyDescent="0.2">
      <c r="B874" s="23" t="str">
        <f t="shared" si="18"/>
        <v/>
      </c>
    </row>
    <row r="875" spans="2:2" x14ac:dyDescent="0.2">
      <c r="B875" s="23" t="str">
        <f t="shared" si="18"/>
        <v/>
      </c>
    </row>
    <row r="876" spans="2:2" x14ac:dyDescent="0.2">
      <c r="B876" s="23" t="str">
        <f t="shared" si="18"/>
        <v/>
      </c>
    </row>
    <row r="877" spans="2:2" x14ac:dyDescent="0.2">
      <c r="B877" s="23" t="str">
        <f t="shared" si="18"/>
        <v/>
      </c>
    </row>
    <row r="878" spans="2:2" x14ac:dyDescent="0.2">
      <c r="B878" s="23" t="str">
        <f t="shared" si="18"/>
        <v/>
      </c>
    </row>
    <row r="879" spans="2:2" x14ac:dyDescent="0.2">
      <c r="B879" s="23" t="str">
        <f t="shared" si="18"/>
        <v/>
      </c>
    </row>
    <row r="880" spans="2:2" x14ac:dyDescent="0.2">
      <c r="B880" s="23" t="str">
        <f t="shared" si="18"/>
        <v/>
      </c>
    </row>
    <row r="881" spans="2:2" x14ac:dyDescent="0.2">
      <c r="B881" s="23" t="str">
        <f t="shared" si="18"/>
        <v/>
      </c>
    </row>
    <row r="882" spans="2:2" x14ac:dyDescent="0.2">
      <c r="B882" s="23" t="str">
        <f t="shared" si="18"/>
        <v/>
      </c>
    </row>
    <row r="883" spans="2:2" x14ac:dyDescent="0.2">
      <c r="B883" s="23" t="str">
        <f t="shared" si="18"/>
        <v/>
      </c>
    </row>
    <row r="884" spans="2:2" x14ac:dyDescent="0.2">
      <c r="B884" s="23" t="str">
        <f t="shared" si="18"/>
        <v/>
      </c>
    </row>
    <row r="885" spans="2:2" x14ac:dyDescent="0.2">
      <c r="B885" s="23" t="str">
        <f t="shared" si="18"/>
        <v/>
      </c>
    </row>
    <row r="886" spans="2:2" x14ac:dyDescent="0.2">
      <c r="B886" s="23" t="str">
        <f t="shared" si="18"/>
        <v/>
      </c>
    </row>
    <row r="887" spans="2:2" x14ac:dyDescent="0.2">
      <c r="B887" s="23" t="str">
        <f t="shared" si="18"/>
        <v/>
      </c>
    </row>
    <row r="888" spans="2:2" x14ac:dyDescent="0.2">
      <c r="B888" s="23" t="str">
        <f t="shared" si="18"/>
        <v/>
      </c>
    </row>
    <row r="889" spans="2:2" x14ac:dyDescent="0.2">
      <c r="B889" s="23" t="str">
        <f t="shared" si="18"/>
        <v/>
      </c>
    </row>
    <row r="890" spans="2:2" x14ac:dyDescent="0.2">
      <c r="B890" s="23" t="str">
        <f t="shared" si="18"/>
        <v/>
      </c>
    </row>
    <row r="891" spans="2:2" x14ac:dyDescent="0.2">
      <c r="B891" s="23" t="str">
        <f t="shared" si="18"/>
        <v/>
      </c>
    </row>
    <row r="892" spans="2:2" x14ac:dyDescent="0.2">
      <c r="B892" s="23" t="str">
        <f t="shared" si="18"/>
        <v/>
      </c>
    </row>
    <row r="893" spans="2:2" x14ac:dyDescent="0.2">
      <c r="B893" s="23" t="str">
        <f t="shared" si="18"/>
        <v/>
      </c>
    </row>
    <row r="894" spans="2:2" x14ac:dyDescent="0.2">
      <c r="B894" s="23" t="str">
        <f t="shared" si="18"/>
        <v/>
      </c>
    </row>
    <row r="895" spans="2:2" x14ac:dyDescent="0.2">
      <c r="B895" s="23" t="str">
        <f t="shared" si="18"/>
        <v/>
      </c>
    </row>
    <row r="896" spans="2:2" x14ac:dyDescent="0.2">
      <c r="B896" s="23" t="str">
        <f t="shared" si="18"/>
        <v/>
      </c>
    </row>
    <row r="897" spans="2:2" x14ac:dyDescent="0.2">
      <c r="B897" s="23" t="str">
        <f t="shared" si="18"/>
        <v/>
      </c>
    </row>
    <row r="898" spans="2:2" x14ac:dyDescent="0.2">
      <c r="B898" s="23" t="str">
        <f t="shared" si="18"/>
        <v/>
      </c>
    </row>
    <row r="899" spans="2:2" x14ac:dyDescent="0.2">
      <c r="B899" s="23" t="str">
        <f t="shared" si="18"/>
        <v/>
      </c>
    </row>
    <row r="900" spans="2:2" x14ac:dyDescent="0.2">
      <c r="B900" s="23" t="str">
        <f t="shared" si="18"/>
        <v/>
      </c>
    </row>
    <row r="901" spans="2:2" x14ac:dyDescent="0.2">
      <c r="B901" s="23" t="str">
        <f t="shared" ref="B901:B964" si="19">IF(OR(A901="(blank)",A901=""),"",1)</f>
        <v/>
      </c>
    </row>
    <row r="902" spans="2:2" x14ac:dyDescent="0.2">
      <c r="B902" s="23" t="str">
        <f t="shared" si="19"/>
        <v/>
      </c>
    </row>
    <row r="903" spans="2:2" x14ac:dyDescent="0.2">
      <c r="B903" s="23" t="str">
        <f t="shared" si="19"/>
        <v/>
      </c>
    </row>
    <row r="904" spans="2:2" x14ac:dyDescent="0.2">
      <c r="B904" s="23" t="str">
        <f t="shared" si="19"/>
        <v/>
      </c>
    </row>
    <row r="905" spans="2:2" x14ac:dyDescent="0.2">
      <c r="B905" s="23" t="str">
        <f t="shared" si="19"/>
        <v/>
      </c>
    </row>
    <row r="906" spans="2:2" x14ac:dyDescent="0.2">
      <c r="B906" s="23" t="str">
        <f t="shared" si="19"/>
        <v/>
      </c>
    </row>
    <row r="907" spans="2:2" x14ac:dyDescent="0.2">
      <c r="B907" s="23" t="str">
        <f t="shared" si="19"/>
        <v/>
      </c>
    </row>
    <row r="908" spans="2:2" x14ac:dyDescent="0.2">
      <c r="B908" s="23" t="str">
        <f t="shared" si="19"/>
        <v/>
      </c>
    </row>
    <row r="909" spans="2:2" x14ac:dyDescent="0.2">
      <c r="B909" s="23" t="str">
        <f t="shared" si="19"/>
        <v/>
      </c>
    </row>
    <row r="910" spans="2:2" x14ac:dyDescent="0.2">
      <c r="B910" s="23" t="str">
        <f t="shared" si="19"/>
        <v/>
      </c>
    </row>
    <row r="911" spans="2:2" x14ac:dyDescent="0.2">
      <c r="B911" s="23" t="str">
        <f t="shared" si="19"/>
        <v/>
      </c>
    </row>
    <row r="912" spans="2:2" x14ac:dyDescent="0.2">
      <c r="B912" s="23" t="str">
        <f t="shared" si="19"/>
        <v/>
      </c>
    </row>
    <row r="913" spans="2:2" x14ac:dyDescent="0.2">
      <c r="B913" s="23" t="str">
        <f t="shared" si="19"/>
        <v/>
      </c>
    </row>
    <row r="914" spans="2:2" x14ac:dyDescent="0.2">
      <c r="B914" s="23" t="str">
        <f t="shared" si="19"/>
        <v/>
      </c>
    </row>
    <row r="915" spans="2:2" x14ac:dyDescent="0.2">
      <c r="B915" s="23" t="str">
        <f t="shared" si="19"/>
        <v/>
      </c>
    </row>
    <row r="916" spans="2:2" x14ac:dyDescent="0.2">
      <c r="B916" s="23" t="str">
        <f t="shared" si="19"/>
        <v/>
      </c>
    </row>
    <row r="917" spans="2:2" x14ac:dyDescent="0.2">
      <c r="B917" s="23" t="str">
        <f t="shared" si="19"/>
        <v/>
      </c>
    </row>
    <row r="918" spans="2:2" x14ac:dyDescent="0.2">
      <c r="B918" s="23" t="str">
        <f t="shared" si="19"/>
        <v/>
      </c>
    </row>
    <row r="919" spans="2:2" x14ac:dyDescent="0.2">
      <c r="B919" s="23" t="str">
        <f t="shared" si="19"/>
        <v/>
      </c>
    </row>
    <row r="920" spans="2:2" x14ac:dyDescent="0.2">
      <c r="B920" s="23" t="str">
        <f t="shared" si="19"/>
        <v/>
      </c>
    </row>
    <row r="921" spans="2:2" x14ac:dyDescent="0.2">
      <c r="B921" s="23" t="str">
        <f t="shared" si="19"/>
        <v/>
      </c>
    </row>
    <row r="922" spans="2:2" x14ac:dyDescent="0.2">
      <c r="B922" s="23" t="str">
        <f t="shared" si="19"/>
        <v/>
      </c>
    </row>
    <row r="923" spans="2:2" x14ac:dyDescent="0.2">
      <c r="B923" s="23" t="str">
        <f t="shared" si="19"/>
        <v/>
      </c>
    </row>
    <row r="924" spans="2:2" x14ac:dyDescent="0.2">
      <c r="B924" s="23" t="str">
        <f t="shared" si="19"/>
        <v/>
      </c>
    </row>
    <row r="925" spans="2:2" x14ac:dyDescent="0.2">
      <c r="B925" s="23" t="str">
        <f t="shared" si="19"/>
        <v/>
      </c>
    </row>
    <row r="926" spans="2:2" x14ac:dyDescent="0.2">
      <c r="B926" s="23" t="str">
        <f t="shared" si="19"/>
        <v/>
      </c>
    </row>
    <row r="927" spans="2:2" x14ac:dyDescent="0.2">
      <c r="B927" s="23" t="str">
        <f t="shared" si="19"/>
        <v/>
      </c>
    </row>
    <row r="928" spans="2:2" x14ac:dyDescent="0.2">
      <c r="B928" s="23" t="str">
        <f t="shared" si="19"/>
        <v/>
      </c>
    </row>
    <row r="929" spans="2:2" x14ac:dyDescent="0.2">
      <c r="B929" s="23" t="str">
        <f t="shared" si="19"/>
        <v/>
      </c>
    </row>
    <row r="930" spans="2:2" x14ac:dyDescent="0.2">
      <c r="B930" s="23" t="str">
        <f t="shared" si="19"/>
        <v/>
      </c>
    </row>
    <row r="931" spans="2:2" x14ac:dyDescent="0.2">
      <c r="B931" s="23" t="str">
        <f t="shared" si="19"/>
        <v/>
      </c>
    </row>
    <row r="932" spans="2:2" x14ac:dyDescent="0.2">
      <c r="B932" s="23" t="str">
        <f t="shared" si="19"/>
        <v/>
      </c>
    </row>
    <row r="933" spans="2:2" x14ac:dyDescent="0.2">
      <c r="B933" s="23" t="str">
        <f t="shared" si="19"/>
        <v/>
      </c>
    </row>
    <row r="934" spans="2:2" x14ac:dyDescent="0.2">
      <c r="B934" s="23" t="str">
        <f t="shared" si="19"/>
        <v/>
      </c>
    </row>
    <row r="935" spans="2:2" x14ac:dyDescent="0.2">
      <c r="B935" s="23" t="str">
        <f t="shared" si="19"/>
        <v/>
      </c>
    </row>
    <row r="936" spans="2:2" x14ac:dyDescent="0.2">
      <c r="B936" s="23" t="str">
        <f t="shared" si="19"/>
        <v/>
      </c>
    </row>
    <row r="937" spans="2:2" x14ac:dyDescent="0.2">
      <c r="B937" s="23" t="str">
        <f t="shared" si="19"/>
        <v/>
      </c>
    </row>
    <row r="938" spans="2:2" x14ac:dyDescent="0.2">
      <c r="B938" s="23" t="str">
        <f t="shared" si="19"/>
        <v/>
      </c>
    </row>
    <row r="939" spans="2:2" x14ac:dyDescent="0.2">
      <c r="B939" s="23" t="str">
        <f t="shared" si="19"/>
        <v/>
      </c>
    </row>
    <row r="940" spans="2:2" x14ac:dyDescent="0.2">
      <c r="B940" s="23" t="str">
        <f t="shared" si="19"/>
        <v/>
      </c>
    </row>
    <row r="941" spans="2:2" x14ac:dyDescent="0.2">
      <c r="B941" s="23" t="str">
        <f t="shared" si="19"/>
        <v/>
      </c>
    </row>
    <row r="942" spans="2:2" x14ac:dyDescent="0.2">
      <c r="B942" s="23" t="str">
        <f t="shared" si="19"/>
        <v/>
      </c>
    </row>
    <row r="943" spans="2:2" x14ac:dyDescent="0.2">
      <c r="B943" s="23" t="str">
        <f t="shared" si="19"/>
        <v/>
      </c>
    </row>
    <row r="944" spans="2:2" x14ac:dyDescent="0.2">
      <c r="B944" s="23" t="str">
        <f t="shared" si="19"/>
        <v/>
      </c>
    </row>
    <row r="945" spans="2:2" x14ac:dyDescent="0.2">
      <c r="B945" s="23" t="str">
        <f t="shared" si="19"/>
        <v/>
      </c>
    </row>
    <row r="946" spans="2:2" x14ac:dyDescent="0.2">
      <c r="B946" s="23" t="str">
        <f t="shared" si="19"/>
        <v/>
      </c>
    </row>
    <row r="947" spans="2:2" x14ac:dyDescent="0.2">
      <c r="B947" s="23" t="str">
        <f t="shared" si="19"/>
        <v/>
      </c>
    </row>
    <row r="948" spans="2:2" x14ac:dyDescent="0.2">
      <c r="B948" s="23" t="str">
        <f t="shared" si="19"/>
        <v/>
      </c>
    </row>
    <row r="949" spans="2:2" x14ac:dyDescent="0.2">
      <c r="B949" s="23" t="str">
        <f t="shared" si="19"/>
        <v/>
      </c>
    </row>
    <row r="950" spans="2:2" x14ac:dyDescent="0.2">
      <c r="B950" s="23" t="str">
        <f t="shared" si="19"/>
        <v/>
      </c>
    </row>
    <row r="951" spans="2:2" x14ac:dyDescent="0.2">
      <c r="B951" s="23" t="str">
        <f t="shared" si="19"/>
        <v/>
      </c>
    </row>
    <row r="952" spans="2:2" x14ac:dyDescent="0.2">
      <c r="B952" s="23" t="str">
        <f t="shared" si="19"/>
        <v/>
      </c>
    </row>
    <row r="953" spans="2:2" x14ac:dyDescent="0.2">
      <c r="B953" s="23" t="str">
        <f t="shared" si="19"/>
        <v/>
      </c>
    </row>
    <row r="954" spans="2:2" x14ac:dyDescent="0.2">
      <c r="B954" s="23" t="str">
        <f t="shared" si="19"/>
        <v/>
      </c>
    </row>
    <row r="955" spans="2:2" x14ac:dyDescent="0.2">
      <c r="B955" s="23" t="str">
        <f t="shared" si="19"/>
        <v/>
      </c>
    </row>
    <row r="956" spans="2:2" x14ac:dyDescent="0.2">
      <c r="B956" s="23" t="str">
        <f t="shared" si="19"/>
        <v/>
      </c>
    </row>
    <row r="957" spans="2:2" x14ac:dyDescent="0.2">
      <c r="B957" s="23" t="str">
        <f t="shared" si="19"/>
        <v/>
      </c>
    </row>
    <row r="958" spans="2:2" x14ac:dyDescent="0.2">
      <c r="B958" s="23" t="str">
        <f t="shared" si="19"/>
        <v/>
      </c>
    </row>
    <row r="959" spans="2:2" x14ac:dyDescent="0.2">
      <c r="B959" s="23" t="str">
        <f t="shared" si="19"/>
        <v/>
      </c>
    </row>
    <row r="960" spans="2:2" x14ac:dyDescent="0.2">
      <c r="B960" s="23" t="str">
        <f t="shared" si="19"/>
        <v/>
      </c>
    </row>
    <row r="961" spans="2:2" x14ac:dyDescent="0.2">
      <c r="B961" s="23" t="str">
        <f t="shared" si="19"/>
        <v/>
      </c>
    </row>
    <row r="962" spans="2:2" x14ac:dyDescent="0.2">
      <c r="B962" s="23" t="str">
        <f t="shared" si="19"/>
        <v/>
      </c>
    </row>
    <row r="963" spans="2:2" x14ac:dyDescent="0.2">
      <c r="B963" s="23" t="str">
        <f t="shared" si="19"/>
        <v/>
      </c>
    </row>
    <row r="964" spans="2:2" x14ac:dyDescent="0.2">
      <c r="B964" s="23" t="str">
        <f t="shared" si="19"/>
        <v/>
      </c>
    </row>
    <row r="965" spans="2:2" x14ac:dyDescent="0.2">
      <c r="B965" s="23" t="str">
        <f t="shared" ref="B965:B1028" si="20">IF(OR(A965="(blank)",A965=""),"",1)</f>
        <v/>
      </c>
    </row>
    <row r="966" spans="2:2" x14ac:dyDescent="0.2">
      <c r="B966" s="23" t="str">
        <f t="shared" si="20"/>
        <v/>
      </c>
    </row>
    <row r="967" spans="2:2" x14ac:dyDescent="0.2">
      <c r="B967" s="23" t="str">
        <f t="shared" si="20"/>
        <v/>
      </c>
    </row>
    <row r="968" spans="2:2" x14ac:dyDescent="0.2">
      <c r="B968" s="23" t="str">
        <f t="shared" si="20"/>
        <v/>
      </c>
    </row>
    <row r="969" spans="2:2" x14ac:dyDescent="0.2">
      <c r="B969" s="23" t="str">
        <f t="shared" si="20"/>
        <v/>
      </c>
    </row>
    <row r="970" spans="2:2" x14ac:dyDescent="0.2">
      <c r="B970" s="23" t="str">
        <f t="shared" si="20"/>
        <v/>
      </c>
    </row>
    <row r="971" spans="2:2" x14ac:dyDescent="0.2">
      <c r="B971" s="23" t="str">
        <f t="shared" si="20"/>
        <v/>
      </c>
    </row>
    <row r="972" spans="2:2" x14ac:dyDescent="0.2">
      <c r="B972" s="23" t="str">
        <f t="shared" si="20"/>
        <v/>
      </c>
    </row>
    <row r="973" spans="2:2" x14ac:dyDescent="0.2">
      <c r="B973" s="23" t="str">
        <f t="shared" si="20"/>
        <v/>
      </c>
    </row>
    <row r="974" spans="2:2" x14ac:dyDescent="0.2">
      <c r="B974" s="23" t="str">
        <f t="shared" si="20"/>
        <v/>
      </c>
    </row>
    <row r="975" spans="2:2" x14ac:dyDescent="0.2">
      <c r="B975" s="23" t="str">
        <f t="shared" si="20"/>
        <v/>
      </c>
    </row>
    <row r="976" spans="2:2" x14ac:dyDescent="0.2">
      <c r="B976" s="23" t="str">
        <f t="shared" si="20"/>
        <v/>
      </c>
    </row>
    <row r="977" spans="2:2" x14ac:dyDescent="0.2">
      <c r="B977" s="23" t="str">
        <f t="shared" si="20"/>
        <v/>
      </c>
    </row>
    <row r="978" spans="2:2" x14ac:dyDescent="0.2">
      <c r="B978" s="23" t="str">
        <f t="shared" si="20"/>
        <v/>
      </c>
    </row>
    <row r="979" spans="2:2" x14ac:dyDescent="0.2">
      <c r="B979" s="23" t="str">
        <f t="shared" si="20"/>
        <v/>
      </c>
    </row>
    <row r="980" spans="2:2" x14ac:dyDescent="0.2">
      <c r="B980" s="23" t="str">
        <f t="shared" si="20"/>
        <v/>
      </c>
    </row>
    <row r="981" spans="2:2" x14ac:dyDescent="0.2">
      <c r="B981" s="23" t="str">
        <f t="shared" si="20"/>
        <v/>
      </c>
    </row>
    <row r="982" spans="2:2" x14ac:dyDescent="0.2">
      <c r="B982" s="23" t="str">
        <f t="shared" si="20"/>
        <v/>
      </c>
    </row>
    <row r="983" spans="2:2" x14ac:dyDescent="0.2">
      <c r="B983" s="23" t="str">
        <f t="shared" si="20"/>
        <v/>
      </c>
    </row>
    <row r="984" spans="2:2" x14ac:dyDescent="0.2">
      <c r="B984" s="23" t="str">
        <f t="shared" si="20"/>
        <v/>
      </c>
    </row>
    <row r="985" spans="2:2" x14ac:dyDescent="0.2">
      <c r="B985" s="23" t="str">
        <f t="shared" si="20"/>
        <v/>
      </c>
    </row>
    <row r="986" spans="2:2" x14ac:dyDescent="0.2">
      <c r="B986" s="23" t="str">
        <f t="shared" si="20"/>
        <v/>
      </c>
    </row>
    <row r="987" spans="2:2" x14ac:dyDescent="0.2">
      <c r="B987" s="23" t="str">
        <f t="shared" si="20"/>
        <v/>
      </c>
    </row>
    <row r="988" spans="2:2" x14ac:dyDescent="0.2">
      <c r="B988" s="23" t="str">
        <f t="shared" si="20"/>
        <v/>
      </c>
    </row>
    <row r="989" spans="2:2" x14ac:dyDescent="0.2">
      <c r="B989" s="23" t="str">
        <f t="shared" si="20"/>
        <v/>
      </c>
    </row>
    <row r="990" spans="2:2" x14ac:dyDescent="0.2">
      <c r="B990" s="23" t="str">
        <f t="shared" si="20"/>
        <v/>
      </c>
    </row>
    <row r="991" spans="2:2" x14ac:dyDescent="0.2">
      <c r="B991" s="23" t="str">
        <f t="shared" si="20"/>
        <v/>
      </c>
    </row>
    <row r="992" spans="2:2" x14ac:dyDescent="0.2">
      <c r="B992" s="23" t="str">
        <f t="shared" si="20"/>
        <v/>
      </c>
    </row>
    <row r="993" spans="2:2" x14ac:dyDescent="0.2">
      <c r="B993" s="23" t="str">
        <f t="shared" si="20"/>
        <v/>
      </c>
    </row>
    <row r="994" spans="2:2" x14ac:dyDescent="0.2">
      <c r="B994" s="23" t="str">
        <f t="shared" si="20"/>
        <v/>
      </c>
    </row>
    <row r="995" spans="2:2" x14ac:dyDescent="0.2">
      <c r="B995" s="23" t="str">
        <f t="shared" si="20"/>
        <v/>
      </c>
    </row>
    <row r="996" spans="2:2" x14ac:dyDescent="0.2">
      <c r="B996" s="23" t="str">
        <f t="shared" si="20"/>
        <v/>
      </c>
    </row>
    <row r="997" spans="2:2" x14ac:dyDescent="0.2">
      <c r="B997" s="23" t="str">
        <f t="shared" si="20"/>
        <v/>
      </c>
    </row>
    <row r="998" spans="2:2" x14ac:dyDescent="0.2">
      <c r="B998" s="23" t="str">
        <f t="shared" si="20"/>
        <v/>
      </c>
    </row>
    <row r="999" spans="2:2" x14ac:dyDescent="0.2">
      <c r="B999" s="23" t="str">
        <f t="shared" si="20"/>
        <v/>
      </c>
    </row>
    <row r="1000" spans="2:2" x14ac:dyDescent="0.2">
      <c r="B1000" s="23" t="str">
        <f t="shared" si="20"/>
        <v/>
      </c>
    </row>
    <row r="1001" spans="2:2" x14ac:dyDescent="0.2">
      <c r="B1001" s="23" t="str">
        <f t="shared" si="20"/>
        <v/>
      </c>
    </row>
    <row r="1002" spans="2:2" x14ac:dyDescent="0.2">
      <c r="B1002" s="23" t="str">
        <f t="shared" si="20"/>
        <v/>
      </c>
    </row>
    <row r="1003" spans="2:2" x14ac:dyDescent="0.2">
      <c r="B1003" s="23" t="str">
        <f t="shared" si="20"/>
        <v/>
      </c>
    </row>
    <row r="1004" spans="2:2" x14ac:dyDescent="0.2">
      <c r="B1004" s="23" t="str">
        <f t="shared" si="20"/>
        <v/>
      </c>
    </row>
    <row r="1005" spans="2:2" x14ac:dyDescent="0.2">
      <c r="B1005" s="23" t="str">
        <f t="shared" si="20"/>
        <v/>
      </c>
    </row>
    <row r="1006" spans="2:2" x14ac:dyDescent="0.2">
      <c r="B1006" s="23" t="str">
        <f t="shared" si="20"/>
        <v/>
      </c>
    </row>
    <row r="1007" spans="2:2" x14ac:dyDescent="0.2">
      <c r="B1007" s="23" t="str">
        <f t="shared" si="20"/>
        <v/>
      </c>
    </row>
    <row r="1008" spans="2:2" x14ac:dyDescent="0.2">
      <c r="B1008" s="23" t="str">
        <f t="shared" si="20"/>
        <v/>
      </c>
    </row>
    <row r="1009" spans="2:2" x14ac:dyDescent="0.2">
      <c r="B1009" s="23" t="str">
        <f t="shared" si="20"/>
        <v/>
      </c>
    </row>
    <row r="1010" spans="2:2" x14ac:dyDescent="0.2">
      <c r="B1010" s="23" t="str">
        <f t="shared" si="20"/>
        <v/>
      </c>
    </row>
    <row r="1011" spans="2:2" x14ac:dyDescent="0.2">
      <c r="B1011" s="23" t="str">
        <f t="shared" si="20"/>
        <v/>
      </c>
    </row>
    <row r="1012" spans="2:2" x14ac:dyDescent="0.2">
      <c r="B1012" s="23" t="str">
        <f t="shared" si="20"/>
        <v/>
      </c>
    </row>
    <row r="1013" spans="2:2" x14ac:dyDescent="0.2">
      <c r="B1013" s="23" t="str">
        <f t="shared" si="20"/>
        <v/>
      </c>
    </row>
    <row r="1014" spans="2:2" x14ac:dyDescent="0.2">
      <c r="B1014" s="23" t="str">
        <f t="shared" si="20"/>
        <v/>
      </c>
    </row>
    <row r="1015" spans="2:2" x14ac:dyDescent="0.2">
      <c r="B1015" s="23" t="str">
        <f t="shared" si="20"/>
        <v/>
      </c>
    </row>
    <row r="1016" spans="2:2" x14ac:dyDescent="0.2">
      <c r="B1016" s="23" t="str">
        <f t="shared" si="20"/>
        <v/>
      </c>
    </row>
    <row r="1017" spans="2:2" x14ac:dyDescent="0.2">
      <c r="B1017" s="23" t="str">
        <f t="shared" si="20"/>
        <v/>
      </c>
    </row>
    <row r="1018" spans="2:2" x14ac:dyDescent="0.2">
      <c r="B1018" s="23" t="str">
        <f t="shared" si="20"/>
        <v/>
      </c>
    </row>
    <row r="1019" spans="2:2" x14ac:dyDescent="0.2">
      <c r="B1019" s="23" t="str">
        <f t="shared" si="20"/>
        <v/>
      </c>
    </row>
    <row r="1020" spans="2:2" x14ac:dyDescent="0.2">
      <c r="B1020" s="23" t="str">
        <f t="shared" si="20"/>
        <v/>
      </c>
    </row>
    <row r="1021" spans="2:2" x14ac:dyDescent="0.2">
      <c r="B1021" s="23" t="str">
        <f t="shared" si="20"/>
        <v/>
      </c>
    </row>
    <row r="1022" spans="2:2" x14ac:dyDescent="0.2">
      <c r="B1022" s="23" t="str">
        <f t="shared" si="20"/>
        <v/>
      </c>
    </row>
    <row r="1023" spans="2:2" x14ac:dyDescent="0.2">
      <c r="B1023" s="23" t="str">
        <f t="shared" si="20"/>
        <v/>
      </c>
    </row>
    <row r="1024" spans="2:2" x14ac:dyDescent="0.2">
      <c r="B1024" s="23" t="str">
        <f t="shared" si="20"/>
        <v/>
      </c>
    </row>
    <row r="1025" spans="2:2" x14ac:dyDescent="0.2">
      <c r="B1025" s="23" t="str">
        <f t="shared" si="20"/>
        <v/>
      </c>
    </row>
    <row r="1026" spans="2:2" x14ac:dyDescent="0.2">
      <c r="B1026" s="23" t="str">
        <f t="shared" si="20"/>
        <v/>
      </c>
    </row>
    <row r="1027" spans="2:2" x14ac:dyDescent="0.2">
      <c r="B1027" s="23" t="str">
        <f t="shared" si="20"/>
        <v/>
      </c>
    </row>
    <row r="1028" spans="2:2" x14ac:dyDescent="0.2">
      <c r="B1028" s="23" t="str">
        <f t="shared" si="20"/>
        <v/>
      </c>
    </row>
    <row r="1029" spans="2:2" x14ac:dyDescent="0.2">
      <c r="B1029" s="23" t="str">
        <f t="shared" ref="B1029:B1092" si="21">IF(OR(A1029="(blank)",A1029=""),"",1)</f>
        <v/>
      </c>
    </row>
    <row r="1030" spans="2:2" x14ac:dyDescent="0.2">
      <c r="B1030" s="23" t="str">
        <f t="shared" si="21"/>
        <v/>
      </c>
    </row>
    <row r="1031" spans="2:2" x14ac:dyDescent="0.2">
      <c r="B1031" s="23" t="str">
        <f t="shared" si="21"/>
        <v/>
      </c>
    </row>
    <row r="1032" spans="2:2" x14ac:dyDescent="0.2">
      <c r="B1032" s="23" t="str">
        <f t="shared" si="21"/>
        <v/>
      </c>
    </row>
    <row r="1033" spans="2:2" x14ac:dyDescent="0.2">
      <c r="B1033" s="23" t="str">
        <f t="shared" si="21"/>
        <v/>
      </c>
    </row>
    <row r="1034" spans="2:2" x14ac:dyDescent="0.2">
      <c r="B1034" s="23" t="str">
        <f t="shared" si="21"/>
        <v/>
      </c>
    </row>
    <row r="1035" spans="2:2" x14ac:dyDescent="0.2">
      <c r="B1035" s="23" t="str">
        <f t="shared" si="21"/>
        <v/>
      </c>
    </row>
    <row r="1036" spans="2:2" x14ac:dyDescent="0.2">
      <c r="B1036" s="23" t="str">
        <f t="shared" si="21"/>
        <v/>
      </c>
    </row>
    <row r="1037" spans="2:2" x14ac:dyDescent="0.2">
      <c r="B1037" s="23" t="str">
        <f t="shared" si="21"/>
        <v/>
      </c>
    </row>
    <row r="1038" spans="2:2" x14ac:dyDescent="0.2">
      <c r="B1038" s="23" t="str">
        <f t="shared" si="21"/>
        <v/>
      </c>
    </row>
    <row r="1039" spans="2:2" x14ac:dyDescent="0.2">
      <c r="B1039" s="23" t="str">
        <f t="shared" si="21"/>
        <v/>
      </c>
    </row>
    <row r="1040" spans="2:2" x14ac:dyDescent="0.2">
      <c r="B1040" s="23" t="str">
        <f t="shared" si="21"/>
        <v/>
      </c>
    </row>
    <row r="1041" spans="2:2" x14ac:dyDescent="0.2">
      <c r="B1041" s="23" t="str">
        <f t="shared" si="21"/>
        <v/>
      </c>
    </row>
    <row r="1042" spans="2:2" x14ac:dyDescent="0.2">
      <c r="B1042" s="23" t="str">
        <f t="shared" si="21"/>
        <v/>
      </c>
    </row>
    <row r="1043" spans="2:2" x14ac:dyDescent="0.2">
      <c r="B1043" s="23" t="str">
        <f t="shared" si="21"/>
        <v/>
      </c>
    </row>
    <row r="1044" spans="2:2" x14ac:dyDescent="0.2">
      <c r="B1044" s="23" t="str">
        <f t="shared" si="21"/>
        <v/>
      </c>
    </row>
    <row r="1045" spans="2:2" x14ac:dyDescent="0.2">
      <c r="B1045" s="23" t="str">
        <f t="shared" si="21"/>
        <v/>
      </c>
    </row>
    <row r="1046" spans="2:2" x14ac:dyDescent="0.2">
      <c r="B1046" s="23" t="str">
        <f t="shared" si="21"/>
        <v/>
      </c>
    </row>
    <row r="1047" spans="2:2" x14ac:dyDescent="0.2">
      <c r="B1047" s="23" t="str">
        <f t="shared" si="21"/>
        <v/>
      </c>
    </row>
    <row r="1048" spans="2:2" x14ac:dyDescent="0.2">
      <c r="B1048" s="23" t="str">
        <f t="shared" si="21"/>
        <v/>
      </c>
    </row>
    <row r="1049" spans="2:2" x14ac:dyDescent="0.2">
      <c r="B1049" s="23" t="str">
        <f t="shared" si="21"/>
        <v/>
      </c>
    </row>
    <row r="1050" spans="2:2" x14ac:dyDescent="0.2">
      <c r="B1050" s="23" t="str">
        <f t="shared" si="21"/>
        <v/>
      </c>
    </row>
    <row r="1051" spans="2:2" x14ac:dyDescent="0.2">
      <c r="B1051" s="23" t="str">
        <f t="shared" si="21"/>
        <v/>
      </c>
    </row>
    <row r="1052" spans="2:2" x14ac:dyDescent="0.2">
      <c r="B1052" s="23" t="str">
        <f t="shared" si="21"/>
        <v/>
      </c>
    </row>
    <row r="1053" spans="2:2" x14ac:dyDescent="0.2">
      <c r="B1053" s="23" t="str">
        <f t="shared" si="21"/>
        <v/>
      </c>
    </row>
    <row r="1054" spans="2:2" x14ac:dyDescent="0.2">
      <c r="B1054" s="23" t="str">
        <f t="shared" si="21"/>
        <v/>
      </c>
    </row>
    <row r="1055" spans="2:2" x14ac:dyDescent="0.2">
      <c r="B1055" s="23" t="str">
        <f t="shared" si="21"/>
        <v/>
      </c>
    </row>
    <row r="1056" spans="2:2" x14ac:dyDescent="0.2">
      <c r="B1056" s="23" t="str">
        <f t="shared" si="21"/>
        <v/>
      </c>
    </row>
    <row r="1057" spans="2:2" x14ac:dyDescent="0.2">
      <c r="B1057" s="23" t="str">
        <f t="shared" si="21"/>
        <v/>
      </c>
    </row>
    <row r="1058" spans="2:2" x14ac:dyDescent="0.2">
      <c r="B1058" s="23" t="str">
        <f t="shared" si="21"/>
        <v/>
      </c>
    </row>
    <row r="1059" spans="2:2" x14ac:dyDescent="0.2">
      <c r="B1059" s="23" t="str">
        <f t="shared" si="21"/>
        <v/>
      </c>
    </row>
    <row r="1060" spans="2:2" x14ac:dyDescent="0.2">
      <c r="B1060" s="23" t="str">
        <f t="shared" si="21"/>
        <v/>
      </c>
    </row>
    <row r="1061" spans="2:2" x14ac:dyDescent="0.2">
      <c r="B1061" s="23" t="str">
        <f t="shared" si="21"/>
        <v/>
      </c>
    </row>
    <row r="1062" spans="2:2" x14ac:dyDescent="0.2">
      <c r="B1062" s="23" t="str">
        <f t="shared" si="21"/>
        <v/>
      </c>
    </row>
    <row r="1063" spans="2:2" x14ac:dyDescent="0.2">
      <c r="B1063" s="23" t="str">
        <f t="shared" si="21"/>
        <v/>
      </c>
    </row>
    <row r="1064" spans="2:2" x14ac:dyDescent="0.2">
      <c r="B1064" s="23" t="str">
        <f t="shared" si="21"/>
        <v/>
      </c>
    </row>
    <row r="1065" spans="2:2" x14ac:dyDescent="0.2">
      <c r="B1065" s="23" t="str">
        <f t="shared" si="21"/>
        <v/>
      </c>
    </row>
    <row r="1066" spans="2:2" x14ac:dyDescent="0.2">
      <c r="B1066" s="23" t="str">
        <f t="shared" si="21"/>
        <v/>
      </c>
    </row>
    <row r="1067" spans="2:2" x14ac:dyDescent="0.2">
      <c r="B1067" s="23" t="str">
        <f t="shared" si="21"/>
        <v/>
      </c>
    </row>
    <row r="1068" spans="2:2" x14ac:dyDescent="0.2">
      <c r="B1068" s="23" t="str">
        <f t="shared" si="21"/>
        <v/>
      </c>
    </row>
    <row r="1069" spans="2:2" x14ac:dyDescent="0.2">
      <c r="B1069" s="23" t="str">
        <f t="shared" si="21"/>
        <v/>
      </c>
    </row>
    <row r="1070" spans="2:2" x14ac:dyDescent="0.2">
      <c r="B1070" s="23" t="str">
        <f t="shared" si="21"/>
        <v/>
      </c>
    </row>
    <row r="1071" spans="2:2" x14ac:dyDescent="0.2">
      <c r="B1071" s="23" t="str">
        <f t="shared" si="21"/>
        <v/>
      </c>
    </row>
    <row r="1072" spans="2:2" x14ac:dyDescent="0.2">
      <c r="B1072" s="23" t="str">
        <f t="shared" si="21"/>
        <v/>
      </c>
    </row>
    <row r="1073" spans="2:2" x14ac:dyDescent="0.2">
      <c r="B1073" s="23" t="str">
        <f t="shared" si="21"/>
        <v/>
      </c>
    </row>
    <row r="1074" spans="2:2" x14ac:dyDescent="0.2">
      <c r="B1074" s="23" t="str">
        <f t="shared" si="21"/>
        <v/>
      </c>
    </row>
    <row r="1075" spans="2:2" x14ac:dyDescent="0.2">
      <c r="B1075" s="23" t="str">
        <f t="shared" si="21"/>
        <v/>
      </c>
    </row>
    <row r="1076" spans="2:2" x14ac:dyDescent="0.2">
      <c r="B1076" s="23" t="str">
        <f t="shared" si="21"/>
        <v/>
      </c>
    </row>
    <row r="1077" spans="2:2" x14ac:dyDescent="0.2">
      <c r="B1077" s="23" t="str">
        <f t="shared" si="21"/>
        <v/>
      </c>
    </row>
    <row r="1078" spans="2:2" x14ac:dyDescent="0.2">
      <c r="B1078" s="23" t="str">
        <f t="shared" si="21"/>
        <v/>
      </c>
    </row>
    <row r="1079" spans="2:2" x14ac:dyDescent="0.2">
      <c r="B1079" s="23" t="str">
        <f t="shared" si="21"/>
        <v/>
      </c>
    </row>
    <row r="1080" spans="2:2" x14ac:dyDescent="0.2">
      <c r="B1080" s="23" t="str">
        <f t="shared" si="21"/>
        <v/>
      </c>
    </row>
    <row r="1081" spans="2:2" x14ac:dyDescent="0.2">
      <c r="B1081" s="23" t="str">
        <f t="shared" si="21"/>
        <v/>
      </c>
    </row>
    <row r="1082" spans="2:2" x14ac:dyDescent="0.2">
      <c r="B1082" s="23" t="str">
        <f t="shared" si="21"/>
        <v/>
      </c>
    </row>
    <row r="1083" spans="2:2" x14ac:dyDescent="0.2">
      <c r="B1083" s="23" t="str">
        <f t="shared" si="21"/>
        <v/>
      </c>
    </row>
    <row r="1084" spans="2:2" x14ac:dyDescent="0.2">
      <c r="B1084" s="23" t="str">
        <f t="shared" si="21"/>
        <v/>
      </c>
    </row>
    <row r="1085" spans="2:2" x14ac:dyDescent="0.2">
      <c r="B1085" s="23" t="str">
        <f t="shared" si="21"/>
        <v/>
      </c>
    </row>
    <row r="1086" spans="2:2" x14ac:dyDescent="0.2">
      <c r="B1086" s="23" t="str">
        <f t="shared" si="21"/>
        <v/>
      </c>
    </row>
    <row r="1087" spans="2:2" x14ac:dyDescent="0.2">
      <c r="B1087" s="23" t="str">
        <f t="shared" si="21"/>
        <v/>
      </c>
    </row>
    <row r="1088" spans="2:2" x14ac:dyDescent="0.2">
      <c r="B1088" s="23" t="str">
        <f t="shared" si="21"/>
        <v/>
      </c>
    </row>
    <row r="1089" spans="2:2" x14ac:dyDescent="0.2">
      <c r="B1089" s="23" t="str">
        <f t="shared" si="21"/>
        <v/>
      </c>
    </row>
    <row r="1090" spans="2:2" x14ac:dyDescent="0.2">
      <c r="B1090" s="23" t="str">
        <f t="shared" si="21"/>
        <v/>
      </c>
    </row>
    <row r="1091" spans="2:2" x14ac:dyDescent="0.2">
      <c r="B1091" s="23" t="str">
        <f t="shared" si="21"/>
        <v/>
      </c>
    </row>
    <row r="1092" spans="2:2" x14ac:dyDescent="0.2">
      <c r="B1092" s="23" t="str">
        <f t="shared" si="21"/>
        <v/>
      </c>
    </row>
    <row r="1093" spans="2:2" x14ac:dyDescent="0.2">
      <c r="B1093" s="23" t="str">
        <f t="shared" ref="B1093:B1156" si="22">IF(OR(A1093="(blank)",A1093=""),"",1)</f>
        <v/>
      </c>
    </row>
    <row r="1094" spans="2:2" x14ac:dyDescent="0.2">
      <c r="B1094" s="23" t="str">
        <f t="shared" si="22"/>
        <v/>
      </c>
    </row>
    <row r="1095" spans="2:2" x14ac:dyDescent="0.2">
      <c r="B1095" s="23" t="str">
        <f t="shared" si="22"/>
        <v/>
      </c>
    </row>
    <row r="1096" spans="2:2" x14ac:dyDescent="0.2">
      <c r="B1096" s="23" t="str">
        <f t="shared" si="22"/>
        <v/>
      </c>
    </row>
    <row r="1097" spans="2:2" x14ac:dyDescent="0.2">
      <c r="B1097" s="23" t="str">
        <f t="shared" si="22"/>
        <v/>
      </c>
    </row>
    <row r="1098" spans="2:2" x14ac:dyDescent="0.2">
      <c r="B1098" s="23" t="str">
        <f t="shared" si="22"/>
        <v/>
      </c>
    </row>
    <row r="1099" spans="2:2" x14ac:dyDescent="0.2">
      <c r="B1099" s="23" t="str">
        <f t="shared" si="22"/>
        <v/>
      </c>
    </row>
    <row r="1100" spans="2:2" x14ac:dyDescent="0.2">
      <c r="B1100" s="23" t="str">
        <f t="shared" si="22"/>
        <v/>
      </c>
    </row>
    <row r="1101" spans="2:2" x14ac:dyDescent="0.2">
      <c r="B1101" s="23" t="str">
        <f t="shared" si="22"/>
        <v/>
      </c>
    </row>
    <row r="1102" spans="2:2" x14ac:dyDescent="0.2">
      <c r="B1102" s="23" t="str">
        <f t="shared" si="22"/>
        <v/>
      </c>
    </row>
    <row r="1103" spans="2:2" x14ac:dyDescent="0.2">
      <c r="B1103" s="23" t="str">
        <f t="shared" si="22"/>
        <v/>
      </c>
    </row>
    <row r="1104" spans="2:2" x14ac:dyDescent="0.2">
      <c r="B1104" s="23" t="str">
        <f t="shared" si="22"/>
        <v/>
      </c>
    </row>
    <row r="1105" spans="2:2" x14ac:dyDescent="0.2">
      <c r="B1105" s="23" t="str">
        <f t="shared" si="22"/>
        <v/>
      </c>
    </row>
    <row r="1106" spans="2:2" x14ac:dyDescent="0.2">
      <c r="B1106" s="23" t="str">
        <f t="shared" si="22"/>
        <v/>
      </c>
    </row>
    <row r="1107" spans="2:2" x14ac:dyDescent="0.2">
      <c r="B1107" s="23" t="str">
        <f t="shared" si="22"/>
        <v/>
      </c>
    </row>
    <row r="1108" spans="2:2" x14ac:dyDescent="0.2">
      <c r="B1108" s="23" t="str">
        <f t="shared" si="22"/>
        <v/>
      </c>
    </row>
    <row r="1109" spans="2:2" x14ac:dyDescent="0.2">
      <c r="B1109" s="23" t="str">
        <f t="shared" si="22"/>
        <v/>
      </c>
    </row>
    <row r="1110" spans="2:2" x14ac:dyDescent="0.2">
      <c r="B1110" s="23" t="str">
        <f t="shared" si="22"/>
        <v/>
      </c>
    </row>
    <row r="1111" spans="2:2" x14ac:dyDescent="0.2">
      <c r="B1111" s="23" t="str">
        <f t="shared" si="22"/>
        <v/>
      </c>
    </row>
    <row r="1112" spans="2:2" x14ac:dyDescent="0.2">
      <c r="B1112" s="23" t="str">
        <f t="shared" si="22"/>
        <v/>
      </c>
    </row>
    <row r="1113" spans="2:2" x14ac:dyDescent="0.2">
      <c r="B1113" s="23" t="str">
        <f t="shared" si="22"/>
        <v/>
      </c>
    </row>
    <row r="1114" spans="2:2" x14ac:dyDescent="0.2">
      <c r="B1114" s="23" t="str">
        <f t="shared" si="22"/>
        <v/>
      </c>
    </row>
    <row r="1115" spans="2:2" x14ac:dyDescent="0.2">
      <c r="B1115" s="23" t="str">
        <f t="shared" si="22"/>
        <v/>
      </c>
    </row>
    <row r="1116" spans="2:2" x14ac:dyDescent="0.2">
      <c r="B1116" s="23" t="str">
        <f t="shared" si="22"/>
        <v/>
      </c>
    </row>
    <row r="1117" spans="2:2" x14ac:dyDescent="0.2">
      <c r="B1117" s="23" t="str">
        <f t="shared" si="22"/>
        <v/>
      </c>
    </row>
    <row r="1118" spans="2:2" x14ac:dyDescent="0.2">
      <c r="B1118" s="23" t="str">
        <f t="shared" si="22"/>
        <v/>
      </c>
    </row>
    <row r="1119" spans="2:2" x14ac:dyDescent="0.2">
      <c r="B1119" s="23" t="str">
        <f t="shared" si="22"/>
        <v/>
      </c>
    </row>
    <row r="1120" spans="2:2" x14ac:dyDescent="0.2">
      <c r="B1120" s="23" t="str">
        <f t="shared" si="22"/>
        <v/>
      </c>
    </row>
    <row r="1121" spans="2:2" x14ac:dyDescent="0.2">
      <c r="B1121" s="23" t="str">
        <f t="shared" si="22"/>
        <v/>
      </c>
    </row>
    <row r="1122" spans="2:2" x14ac:dyDescent="0.2">
      <c r="B1122" s="23" t="str">
        <f t="shared" si="22"/>
        <v/>
      </c>
    </row>
    <row r="1123" spans="2:2" x14ac:dyDescent="0.2">
      <c r="B1123" s="23" t="str">
        <f t="shared" si="22"/>
        <v/>
      </c>
    </row>
    <row r="1124" spans="2:2" x14ac:dyDescent="0.2">
      <c r="B1124" s="23" t="str">
        <f t="shared" si="22"/>
        <v/>
      </c>
    </row>
    <row r="1125" spans="2:2" x14ac:dyDescent="0.2">
      <c r="B1125" s="23" t="str">
        <f t="shared" si="22"/>
        <v/>
      </c>
    </row>
    <row r="1126" spans="2:2" x14ac:dyDescent="0.2">
      <c r="B1126" s="23" t="str">
        <f t="shared" si="22"/>
        <v/>
      </c>
    </row>
    <row r="1127" spans="2:2" x14ac:dyDescent="0.2">
      <c r="B1127" s="23" t="str">
        <f t="shared" si="22"/>
        <v/>
      </c>
    </row>
    <row r="1128" spans="2:2" x14ac:dyDescent="0.2">
      <c r="B1128" s="23" t="str">
        <f t="shared" si="22"/>
        <v/>
      </c>
    </row>
    <row r="1129" spans="2:2" x14ac:dyDescent="0.2">
      <c r="B1129" s="23" t="str">
        <f t="shared" si="22"/>
        <v/>
      </c>
    </row>
    <row r="1130" spans="2:2" x14ac:dyDescent="0.2">
      <c r="B1130" s="23" t="str">
        <f t="shared" si="22"/>
        <v/>
      </c>
    </row>
    <row r="1131" spans="2:2" x14ac:dyDescent="0.2">
      <c r="B1131" s="23" t="str">
        <f t="shared" si="22"/>
        <v/>
      </c>
    </row>
    <row r="1132" spans="2:2" x14ac:dyDescent="0.2">
      <c r="B1132" s="23" t="str">
        <f t="shared" si="22"/>
        <v/>
      </c>
    </row>
    <row r="1133" spans="2:2" x14ac:dyDescent="0.2">
      <c r="B1133" s="23" t="str">
        <f t="shared" si="22"/>
        <v/>
      </c>
    </row>
    <row r="1134" spans="2:2" x14ac:dyDescent="0.2">
      <c r="B1134" s="23" t="str">
        <f t="shared" si="22"/>
        <v/>
      </c>
    </row>
    <row r="1135" spans="2:2" x14ac:dyDescent="0.2">
      <c r="B1135" s="23" t="str">
        <f t="shared" si="22"/>
        <v/>
      </c>
    </row>
    <row r="1136" spans="2:2" x14ac:dyDescent="0.2">
      <c r="B1136" s="23" t="str">
        <f t="shared" si="22"/>
        <v/>
      </c>
    </row>
    <row r="1137" spans="2:2" x14ac:dyDescent="0.2">
      <c r="B1137" s="23" t="str">
        <f t="shared" si="22"/>
        <v/>
      </c>
    </row>
    <row r="1138" spans="2:2" x14ac:dyDescent="0.2">
      <c r="B1138" s="23" t="str">
        <f t="shared" si="22"/>
        <v/>
      </c>
    </row>
    <row r="1139" spans="2:2" x14ac:dyDescent="0.2">
      <c r="B1139" s="23" t="str">
        <f t="shared" si="22"/>
        <v/>
      </c>
    </row>
    <row r="1140" spans="2:2" x14ac:dyDescent="0.2">
      <c r="B1140" s="23" t="str">
        <f t="shared" si="22"/>
        <v/>
      </c>
    </row>
    <row r="1141" spans="2:2" x14ac:dyDescent="0.2">
      <c r="B1141" s="23" t="str">
        <f t="shared" si="22"/>
        <v/>
      </c>
    </row>
    <row r="1142" spans="2:2" x14ac:dyDescent="0.2">
      <c r="B1142" s="23" t="str">
        <f t="shared" si="22"/>
        <v/>
      </c>
    </row>
    <row r="1143" spans="2:2" x14ac:dyDescent="0.2">
      <c r="B1143" s="23" t="str">
        <f t="shared" si="22"/>
        <v/>
      </c>
    </row>
    <row r="1144" spans="2:2" x14ac:dyDescent="0.2">
      <c r="B1144" s="23" t="str">
        <f t="shared" si="22"/>
        <v/>
      </c>
    </row>
    <row r="1145" spans="2:2" x14ac:dyDescent="0.2">
      <c r="B1145" s="23" t="str">
        <f t="shared" si="22"/>
        <v/>
      </c>
    </row>
    <row r="1146" spans="2:2" x14ac:dyDescent="0.2">
      <c r="B1146" s="23" t="str">
        <f t="shared" si="22"/>
        <v/>
      </c>
    </row>
    <row r="1147" spans="2:2" x14ac:dyDescent="0.2">
      <c r="B1147" s="23" t="str">
        <f t="shared" si="22"/>
        <v/>
      </c>
    </row>
    <row r="1148" spans="2:2" x14ac:dyDescent="0.2">
      <c r="B1148" s="23" t="str">
        <f t="shared" si="22"/>
        <v/>
      </c>
    </row>
    <row r="1149" spans="2:2" x14ac:dyDescent="0.2">
      <c r="B1149" s="23" t="str">
        <f t="shared" si="22"/>
        <v/>
      </c>
    </row>
    <row r="1150" spans="2:2" x14ac:dyDescent="0.2">
      <c r="B1150" s="23" t="str">
        <f t="shared" si="22"/>
        <v/>
      </c>
    </row>
    <row r="1151" spans="2:2" x14ac:dyDescent="0.2">
      <c r="B1151" s="23" t="str">
        <f t="shared" si="22"/>
        <v/>
      </c>
    </row>
    <row r="1152" spans="2:2" x14ac:dyDescent="0.2">
      <c r="B1152" s="23" t="str">
        <f t="shared" si="22"/>
        <v/>
      </c>
    </row>
    <row r="1153" spans="2:2" x14ac:dyDescent="0.2">
      <c r="B1153" s="23" t="str">
        <f t="shared" si="22"/>
        <v/>
      </c>
    </row>
    <row r="1154" spans="2:2" x14ac:dyDescent="0.2">
      <c r="B1154" s="23" t="str">
        <f t="shared" si="22"/>
        <v/>
      </c>
    </row>
    <row r="1155" spans="2:2" x14ac:dyDescent="0.2">
      <c r="B1155" s="23" t="str">
        <f t="shared" si="22"/>
        <v/>
      </c>
    </row>
    <row r="1156" spans="2:2" x14ac:dyDescent="0.2">
      <c r="B1156" s="23" t="str">
        <f t="shared" si="22"/>
        <v/>
      </c>
    </row>
    <row r="1157" spans="2:2" x14ac:dyDescent="0.2">
      <c r="B1157" s="23" t="str">
        <f t="shared" ref="B1157:B1220" si="23">IF(OR(A1157="(blank)",A1157=""),"",1)</f>
        <v/>
      </c>
    </row>
    <row r="1158" spans="2:2" x14ac:dyDescent="0.2">
      <c r="B1158" s="23" t="str">
        <f t="shared" si="23"/>
        <v/>
      </c>
    </row>
    <row r="1159" spans="2:2" x14ac:dyDescent="0.2">
      <c r="B1159" s="23" t="str">
        <f t="shared" si="23"/>
        <v/>
      </c>
    </row>
    <row r="1160" spans="2:2" x14ac:dyDescent="0.2">
      <c r="B1160" s="23" t="str">
        <f t="shared" si="23"/>
        <v/>
      </c>
    </row>
    <row r="1161" spans="2:2" x14ac:dyDescent="0.2">
      <c r="B1161" s="23" t="str">
        <f t="shared" si="23"/>
        <v/>
      </c>
    </row>
    <row r="1162" spans="2:2" x14ac:dyDescent="0.2">
      <c r="B1162" s="23" t="str">
        <f t="shared" si="23"/>
        <v/>
      </c>
    </row>
    <row r="1163" spans="2:2" x14ac:dyDescent="0.2">
      <c r="B1163" s="23" t="str">
        <f t="shared" si="23"/>
        <v/>
      </c>
    </row>
    <row r="1164" spans="2:2" x14ac:dyDescent="0.2">
      <c r="B1164" s="23" t="str">
        <f t="shared" si="23"/>
        <v/>
      </c>
    </row>
    <row r="1165" spans="2:2" x14ac:dyDescent="0.2">
      <c r="B1165" s="23" t="str">
        <f t="shared" si="23"/>
        <v/>
      </c>
    </row>
    <row r="1166" spans="2:2" x14ac:dyDescent="0.2">
      <c r="B1166" s="23" t="str">
        <f t="shared" si="23"/>
        <v/>
      </c>
    </row>
    <row r="1167" spans="2:2" x14ac:dyDescent="0.2">
      <c r="B1167" s="23" t="str">
        <f t="shared" si="23"/>
        <v/>
      </c>
    </row>
    <row r="1168" spans="2:2" x14ac:dyDescent="0.2">
      <c r="B1168" s="23" t="str">
        <f t="shared" si="23"/>
        <v/>
      </c>
    </row>
    <row r="1169" spans="2:2" x14ac:dyDescent="0.2">
      <c r="B1169" s="23" t="str">
        <f t="shared" si="23"/>
        <v/>
      </c>
    </row>
    <row r="1170" spans="2:2" x14ac:dyDescent="0.2">
      <c r="B1170" s="23" t="str">
        <f t="shared" si="23"/>
        <v/>
      </c>
    </row>
    <row r="1171" spans="2:2" x14ac:dyDescent="0.2">
      <c r="B1171" s="23" t="str">
        <f t="shared" si="23"/>
        <v/>
      </c>
    </row>
    <row r="1172" spans="2:2" x14ac:dyDescent="0.2">
      <c r="B1172" s="23" t="str">
        <f t="shared" si="23"/>
        <v/>
      </c>
    </row>
    <row r="1173" spans="2:2" x14ac:dyDescent="0.2">
      <c r="B1173" s="23" t="str">
        <f t="shared" si="23"/>
        <v/>
      </c>
    </row>
    <row r="1174" spans="2:2" x14ac:dyDescent="0.2">
      <c r="B1174" s="23" t="str">
        <f t="shared" si="23"/>
        <v/>
      </c>
    </row>
    <row r="1175" spans="2:2" x14ac:dyDescent="0.2">
      <c r="B1175" s="23" t="str">
        <f t="shared" si="23"/>
        <v/>
      </c>
    </row>
    <row r="1176" spans="2:2" x14ac:dyDescent="0.2">
      <c r="B1176" s="23" t="str">
        <f t="shared" si="23"/>
        <v/>
      </c>
    </row>
    <row r="1177" spans="2:2" x14ac:dyDescent="0.2">
      <c r="B1177" s="23" t="str">
        <f t="shared" si="23"/>
        <v/>
      </c>
    </row>
    <row r="1178" spans="2:2" x14ac:dyDescent="0.2">
      <c r="B1178" s="23" t="str">
        <f t="shared" si="23"/>
        <v/>
      </c>
    </row>
    <row r="1179" spans="2:2" x14ac:dyDescent="0.2">
      <c r="B1179" s="23" t="str">
        <f t="shared" si="23"/>
        <v/>
      </c>
    </row>
    <row r="1180" spans="2:2" x14ac:dyDescent="0.2">
      <c r="B1180" s="23" t="str">
        <f t="shared" si="23"/>
        <v/>
      </c>
    </row>
    <row r="1181" spans="2:2" x14ac:dyDescent="0.2">
      <c r="B1181" s="23" t="str">
        <f t="shared" si="23"/>
        <v/>
      </c>
    </row>
    <row r="1182" spans="2:2" x14ac:dyDescent="0.2">
      <c r="B1182" s="23" t="str">
        <f t="shared" si="23"/>
        <v/>
      </c>
    </row>
    <row r="1183" spans="2:2" x14ac:dyDescent="0.2">
      <c r="B1183" s="23" t="str">
        <f t="shared" si="23"/>
        <v/>
      </c>
    </row>
    <row r="1184" spans="2:2" x14ac:dyDescent="0.2">
      <c r="B1184" s="23" t="str">
        <f t="shared" si="23"/>
        <v/>
      </c>
    </row>
    <row r="1185" spans="2:2" x14ac:dyDescent="0.2">
      <c r="B1185" s="23" t="str">
        <f t="shared" si="23"/>
        <v/>
      </c>
    </row>
    <row r="1186" spans="2:2" x14ac:dyDescent="0.2">
      <c r="B1186" s="23" t="str">
        <f t="shared" si="23"/>
        <v/>
      </c>
    </row>
    <row r="1187" spans="2:2" x14ac:dyDescent="0.2">
      <c r="B1187" s="23" t="str">
        <f t="shared" si="23"/>
        <v/>
      </c>
    </row>
    <row r="1188" spans="2:2" x14ac:dyDescent="0.2">
      <c r="B1188" s="23" t="str">
        <f t="shared" si="23"/>
        <v/>
      </c>
    </row>
    <row r="1189" spans="2:2" x14ac:dyDescent="0.2">
      <c r="B1189" s="23" t="str">
        <f t="shared" si="23"/>
        <v/>
      </c>
    </row>
    <row r="1190" spans="2:2" x14ac:dyDescent="0.2">
      <c r="B1190" s="23" t="str">
        <f t="shared" si="23"/>
        <v/>
      </c>
    </row>
    <row r="1191" spans="2:2" x14ac:dyDescent="0.2">
      <c r="B1191" s="23" t="str">
        <f t="shared" si="23"/>
        <v/>
      </c>
    </row>
    <row r="1192" spans="2:2" x14ac:dyDescent="0.2">
      <c r="B1192" s="23" t="str">
        <f t="shared" si="23"/>
        <v/>
      </c>
    </row>
    <row r="1193" spans="2:2" x14ac:dyDescent="0.2">
      <c r="B1193" s="23" t="str">
        <f t="shared" si="23"/>
        <v/>
      </c>
    </row>
    <row r="1194" spans="2:2" x14ac:dyDescent="0.2">
      <c r="B1194" s="23" t="str">
        <f t="shared" si="23"/>
        <v/>
      </c>
    </row>
    <row r="1195" spans="2:2" x14ac:dyDescent="0.2">
      <c r="B1195" s="23" t="str">
        <f t="shared" si="23"/>
        <v/>
      </c>
    </row>
    <row r="1196" spans="2:2" x14ac:dyDescent="0.2">
      <c r="B1196" s="23" t="str">
        <f t="shared" si="23"/>
        <v/>
      </c>
    </row>
    <row r="1197" spans="2:2" x14ac:dyDescent="0.2">
      <c r="B1197" s="23" t="str">
        <f t="shared" si="23"/>
        <v/>
      </c>
    </row>
    <row r="1198" spans="2:2" x14ac:dyDescent="0.2">
      <c r="B1198" s="23" t="str">
        <f t="shared" si="23"/>
        <v/>
      </c>
    </row>
    <row r="1199" spans="2:2" x14ac:dyDescent="0.2">
      <c r="B1199" s="23" t="str">
        <f t="shared" si="23"/>
        <v/>
      </c>
    </row>
    <row r="1200" spans="2:2" x14ac:dyDescent="0.2">
      <c r="B1200" s="23" t="str">
        <f t="shared" si="23"/>
        <v/>
      </c>
    </row>
    <row r="1201" spans="2:2" x14ac:dyDescent="0.2">
      <c r="B1201" s="23" t="str">
        <f t="shared" si="23"/>
        <v/>
      </c>
    </row>
    <row r="1202" spans="2:2" x14ac:dyDescent="0.2">
      <c r="B1202" s="23" t="str">
        <f t="shared" si="23"/>
        <v/>
      </c>
    </row>
    <row r="1203" spans="2:2" x14ac:dyDescent="0.2">
      <c r="B1203" s="23" t="str">
        <f t="shared" si="23"/>
        <v/>
      </c>
    </row>
    <row r="1204" spans="2:2" x14ac:dyDescent="0.2">
      <c r="B1204" s="23" t="str">
        <f t="shared" si="23"/>
        <v/>
      </c>
    </row>
    <row r="1205" spans="2:2" x14ac:dyDescent="0.2">
      <c r="B1205" s="23" t="str">
        <f t="shared" si="23"/>
        <v/>
      </c>
    </row>
    <row r="1206" spans="2:2" x14ac:dyDescent="0.2">
      <c r="B1206" s="23" t="str">
        <f t="shared" si="23"/>
        <v/>
      </c>
    </row>
    <row r="1207" spans="2:2" x14ac:dyDescent="0.2">
      <c r="B1207" s="23" t="str">
        <f t="shared" si="23"/>
        <v/>
      </c>
    </row>
    <row r="1208" spans="2:2" x14ac:dyDescent="0.2">
      <c r="B1208" s="23" t="str">
        <f t="shared" si="23"/>
        <v/>
      </c>
    </row>
    <row r="1209" spans="2:2" x14ac:dyDescent="0.2">
      <c r="B1209" s="23" t="str">
        <f t="shared" si="23"/>
        <v/>
      </c>
    </row>
    <row r="1210" spans="2:2" x14ac:dyDescent="0.2">
      <c r="B1210" s="23" t="str">
        <f t="shared" si="23"/>
        <v/>
      </c>
    </row>
    <row r="1211" spans="2:2" x14ac:dyDescent="0.2">
      <c r="B1211" s="23" t="str">
        <f t="shared" si="23"/>
        <v/>
      </c>
    </row>
    <row r="1212" spans="2:2" x14ac:dyDescent="0.2">
      <c r="B1212" s="23" t="str">
        <f t="shared" si="23"/>
        <v/>
      </c>
    </row>
    <row r="1213" spans="2:2" x14ac:dyDescent="0.2">
      <c r="B1213" s="23" t="str">
        <f t="shared" si="23"/>
        <v/>
      </c>
    </row>
    <row r="1214" spans="2:2" x14ac:dyDescent="0.2">
      <c r="B1214" s="23" t="str">
        <f t="shared" si="23"/>
        <v/>
      </c>
    </row>
    <row r="1215" spans="2:2" x14ac:dyDescent="0.2">
      <c r="B1215" s="23" t="str">
        <f t="shared" si="23"/>
        <v/>
      </c>
    </row>
    <row r="1216" spans="2:2" x14ac:dyDescent="0.2">
      <c r="B1216" s="23" t="str">
        <f t="shared" si="23"/>
        <v/>
      </c>
    </row>
    <row r="1217" spans="2:2" x14ac:dyDescent="0.2">
      <c r="B1217" s="23" t="str">
        <f t="shared" si="23"/>
        <v/>
      </c>
    </row>
    <row r="1218" spans="2:2" x14ac:dyDescent="0.2">
      <c r="B1218" s="23" t="str">
        <f t="shared" si="23"/>
        <v/>
      </c>
    </row>
    <row r="1219" spans="2:2" x14ac:dyDescent="0.2">
      <c r="B1219" s="23" t="str">
        <f t="shared" si="23"/>
        <v/>
      </c>
    </row>
    <row r="1220" spans="2:2" x14ac:dyDescent="0.2">
      <c r="B1220" s="23" t="str">
        <f t="shared" si="23"/>
        <v/>
      </c>
    </row>
    <row r="1221" spans="2:2" x14ac:dyDescent="0.2">
      <c r="B1221" s="23" t="str">
        <f t="shared" ref="B1221:B1284" si="24">IF(OR(A1221="(blank)",A1221=""),"",1)</f>
        <v/>
      </c>
    </row>
    <row r="1222" spans="2:2" x14ac:dyDescent="0.2">
      <c r="B1222" s="23" t="str">
        <f t="shared" si="24"/>
        <v/>
      </c>
    </row>
    <row r="1223" spans="2:2" x14ac:dyDescent="0.2">
      <c r="B1223" s="23" t="str">
        <f t="shared" si="24"/>
        <v/>
      </c>
    </row>
    <row r="1224" spans="2:2" x14ac:dyDescent="0.2">
      <c r="B1224" s="23" t="str">
        <f t="shared" si="24"/>
        <v/>
      </c>
    </row>
    <row r="1225" spans="2:2" x14ac:dyDescent="0.2">
      <c r="B1225" s="23" t="str">
        <f t="shared" si="24"/>
        <v/>
      </c>
    </row>
    <row r="1226" spans="2:2" x14ac:dyDescent="0.2">
      <c r="B1226" s="23" t="str">
        <f t="shared" si="24"/>
        <v/>
      </c>
    </row>
    <row r="1227" spans="2:2" x14ac:dyDescent="0.2">
      <c r="B1227" s="23" t="str">
        <f t="shared" si="24"/>
        <v/>
      </c>
    </row>
    <row r="1228" spans="2:2" x14ac:dyDescent="0.2">
      <c r="B1228" s="23" t="str">
        <f t="shared" si="24"/>
        <v/>
      </c>
    </row>
    <row r="1229" spans="2:2" x14ac:dyDescent="0.2">
      <c r="B1229" s="23" t="str">
        <f t="shared" si="24"/>
        <v/>
      </c>
    </row>
    <row r="1230" spans="2:2" x14ac:dyDescent="0.2">
      <c r="B1230" s="23" t="str">
        <f t="shared" si="24"/>
        <v/>
      </c>
    </row>
    <row r="1231" spans="2:2" x14ac:dyDescent="0.2">
      <c r="B1231" s="23" t="str">
        <f t="shared" si="24"/>
        <v/>
      </c>
    </row>
    <row r="1232" spans="2:2" x14ac:dyDescent="0.2">
      <c r="B1232" s="23" t="str">
        <f t="shared" si="24"/>
        <v/>
      </c>
    </row>
    <row r="1233" spans="2:2" x14ac:dyDescent="0.2">
      <c r="B1233" s="23" t="str">
        <f t="shared" si="24"/>
        <v/>
      </c>
    </row>
    <row r="1234" spans="2:2" x14ac:dyDescent="0.2">
      <c r="B1234" s="23" t="str">
        <f t="shared" si="24"/>
        <v/>
      </c>
    </row>
    <row r="1235" spans="2:2" x14ac:dyDescent="0.2">
      <c r="B1235" s="23" t="str">
        <f t="shared" si="24"/>
        <v/>
      </c>
    </row>
    <row r="1236" spans="2:2" x14ac:dyDescent="0.2">
      <c r="B1236" s="23" t="str">
        <f t="shared" si="24"/>
        <v/>
      </c>
    </row>
    <row r="1237" spans="2:2" x14ac:dyDescent="0.2">
      <c r="B1237" s="23" t="str">
        <f t="shared" si="24"/>
        <v/>
      </c>
    </row>
    <row r="1238" spans="2:2" x14ac:dyDescent="0.2">
      <c r="B1238" s="23" t="str">
        <f t="shared" si="24"/>
        <v/>
      </c>
    </row>
    <row r="1239" spans="2:2" x14ac:dyDescent="0.2">
      <c r="B1239" s="23" t="str">
        <f t="shared" si="24"/>
        <v/>
      </c>
    </row>
    <row r="1240" spans="2:2" x14ac:dyDescent="0.2">
      <c r="B1240" s="23" t="str">
        <f t="shared" si="24"/>
        <v/>
      </c>
    </row>
    <row r="1241" spans="2:2" x14ac:dyDescent="0.2">
      <c r="B1241" s="23" t="str">
        <f t="shared" si="24"/>
        <v/>
      </c>
    </row>
    <row r="1242" spans="2:2" x14ac:dyDescent="0.2">
      <c r="B1242" s="23" t="str">
        <f t="shared" si="24"/>
        <v/>
      </c>
    </row>
    <row r="1243" spans="2:2" x14ac:dyDescent="0.2">
      <c r="B1243" s="23" t="str">
        <f t="shared" si="24"/>
        <v/>
      </c>
    </row>
    <row r="1244" spans="2:2" x14ac:dyDescent="0.2">
      <c r="B1244" s="23" t="str">
        <f t="shared" si="24"/>
        <v/>
      </c>
    </row>
    <row r="1245" spans="2:2" x14ac:dyDescent="0.2">
      <c r="B1245" s="23" t="str">
        <f t="shared" si="24"/>
        <v/>
      </c>
    </row>
    <row r="1246" spans="2:2" x14ac:dyDescent="0.2">
      <c r="B1246" s="23" t="str">
        <f t="shared" si="24"/>
        <v/>
      </c>
    </row>
    <row r="1247" spans="2:2" x14ac:dyDescent="0.2">
      <c r="B1247" s="23" t="str">
        <f t="shared" si="24"/>
        <v/>
      </c>
    </row>
    <row r="1248" spans="2:2" x14ac:dyDescent="0.2">
      <c r="B1248" s="23" t="str">
        <f t="shared" si="24"/>
        <v/>
      </c>
    </row>
    <row r="1249" spans="2:2" x14ac:dyDescent="0.2">
      <c r="B1249" s="23" t="str">
        <f t="shared" si="24"/>
        <v/>
      </c>
    </row>
    <row r="1250" spans="2:2" x14ac:dyDescent="0.2">
      <c r="B1250" s="23" t="str">
        <f t="shared" si="24"/>
        <v/>
      </c>
    </row>
    <row r="1251" spans="2:2" x14ac:dyDescent="0.2">
      <c r="B1251" s="23" t="str">
        <f t="shared" si="24"/>
        <v/>
      </c>
    </row>
    <row r="1252" spans="2:2" x14ac:dyDescent="0.2">
      <c r="B1252" s="23" t="str">
        <f t="shared" si="24"/>
        <v/>
      </c>
    </row>
    <row r="1253" spans="2:2" x14ac:dyDescent="0.2">
      <c r="B1253" s="23" t="str">
        <f t="shared" si="24"/>
        <v/>
      </c>
    </row>
    <row r="1254" spans="2:2" x14ac:dyDescent="0.2">
      <c r="B1254" s="23" t="str">
        <f t="shared" si="24"/>
        <v/>
      </c>
    </row>
    <row r="1255" spans="2:2" x14ac:dyDescent="0.2">
      <c r="B1255" s="23" t="str">
        <f t="shared" si="24"/>
        <v/>
      </c>
    </row>
    <row r="1256" spans="2:2" x14ac:dyDescent="0.2">
      <c r="B1256" s="23" t="str">
        <f t="shared" si="24"/>
        <v/>
      </c>
    </row>
    <row r="1257" spans="2:2" x14ac:dyDescent="0.2">
      <c r="B1257" s="23" t="str">
        <f t="shared" si="24"/>
        <v/>
      </c>
    </row>
    <row r="1258" spans="2:2" x14ac:dyDescent="0.2">
      <c r="B1258" s="23" t="str">
        <f t="shared" si="24"/>
        <v/>
      </c>
    </row>
    <row r="1259" spans="2:2" x14ac:dyDescent="0.2">
      <c r="B1259" s="23" t="str">
        <f t="shared" si="24"/>
        <v/>
      </c>
    </row>
    <row r="1260" spans="2:2" x14ac:dyDescent="0.2">
      <c r="B1260" s="23" t="str">
        <f t="shared" si="24"/>
        <v/>
      </c>
    </row>
    <row r="1261" spans="2:2" x14ac:dyDescent="0.2">
      <c r="B1261" s="23" t="str">
        <f t="shared" si="24"/>
        <v/>
      </c>
    </row>
    <row r="1262" spans="2:2" x14ac:dyDescent="0.2">
      <c r="B1262" s="23" t="str">
        <f t="shared" si="24"/>
        <v/>
      </c>
    </row>
    <row r="1263" spans="2:2" x14ac:dyDescent="0.2">
      <c r="B1263" s="23" t="str">
        <f t="shared" si="24"/>
        <v/>
      </c>
    </row>
    <row r="1264" spans="2:2" x14ac:dyDescent="0.2">
      <c r="B1264" s="23" t="str">
        <f t="shared" si="24"/>
        <v/>
      </c>
    </row>
    <row r="1265" spans="2:2" x14ac:dyDescent="0.2">
      <c r="B1265" s="23" t="str">
        <f t="shared" si="24"/>
        <v/>
      </c>
    </row>
    <row r="1266" spans="2:2" x14ac:dyDescent="0.2">
      <c r="B1266" s="23" t="str">
        <f t="shared" si="24"/>
        <v/>
      </c>
    </row>
    <row r="1267" spans="2:2" x14ac:dyDescent="0.2">
      <c r="B1267" s="23" t="str">
        <f t="shared" si="24"/>
        <v/>
      </c>
    </row>
    <row r="1268" spans="2:2" x14ac:dyDescent="0.2">
      <c r="B1268" s="23" t="str">
        <f t="shared" si="24"/>
        <v/>
      </c>
    </row>
    <row r="1269" spans="2:2" x14ac:dyDescent="0.2">
      <c r="B1269" s="23" t="str">
        <f t="shared" si="24"/>
        <v/>
      </c>
    </row>
    <row r="1270" spans="2:2" x14ac:dyDescent="0.2">
      <c r="B1270" s="23" t="str">
        <f t="shared" si="24"/>
        <v/>
      </c>
    </row>
    <row r="1271" spans="2:2" x14ac:dyDescent="0.2">
      <c r="B1271" s="23" t="str">
        <f t="shared" si="24"/>
        <v/>
      </c>
    </row>
    <row r="1272" spans="2:2" x14ac:dyDescent="0.2">
      <c r="B1272" s="23" t="str">
        <f t="shared" si="24"/>
        <v/>
      </c>
    </row>
    <row r="1273" spans="2:2" x14ac:dyDescent="0.2">
      <c r="B1273" s="23" t="str">
        <f t="shared" si="24"/>
        <v/>
      </c>
    </row>
    <row r="1274" spans="2:2" x14ac:dyDescent="0.2">
      <c r="B1274" s="23" t="str">
        <f t="shared" si="24"/>
        <v/>
      </c>
    </row>
    <row r="1275" spans="2:2" x14ac:dyDescent="0.2">
      <c r="B1275" s="23" t="str">
        <f t="shared" si="24"/>
        <v/>
      </c>
    </row>
    <row r="1276" spans="2:2" x14ac:dyDescent="0.2">
      <c r="B1276" s="23" t="str">
        <f t="shared" si="24"/>
        <v/>
      </c>
    </row>
    <row r="1277" spans="2:2" x14ac:dyDescent="0.2">
      <c r="B1277" s="23" t="str">
        <f t="shared" si="24"/>
        <v/>
      </c>
    </row>
    <row r="1278" spans="2:2" x14ac:dyDescent="0.2">
      <c r="B1278" s="23" t="str">
        <f t="shared" si="24"/>
        <v/>
      </c>
    </row>
    <row r="1279" spans="2:2" x14ac:dyDescent="0.2">
      <c r="B1279" s="23" t="str">
        <f t="shared" si="24"/>
        <v/>
      </c>
    </row>
    <row r="1280" spans="2:2" x14ac:dyDescent="0.2">
      <c r="B1280" s="23" t="str">
        <f t="shared" si="24"/>
        <v/>
      </c>
    </row>
    <row r="1281" spans="2:2" x14ac:dyDescent="0.2">
      <c r="B1281" s="23" t="str">
        <f t="shared" si="24"/>
        <v/>
      </c>
    </row>
    <row r="1282" spans="2:2" x14ac:dyDescent="0.2">
      <c r="B1282" s="23" t="str">
        <f t="shared" si="24"/>
        <v/>
      </c>
    </row>
    <row r="1283" spans="2:2" x14ac:dyDescent="0.2">
      <c r="B1283" s="23" t="str">
        <f t="shared" si="24"/>
        <v/>
      </c>
    </row>
    <row r="1284" spans="2:2" x14ac:dyDescent="0.2">
      <c r="B1284" s="23" t="str">
        <f t="shared" si="24"/>
        <v/>
      </c>
    </row>
    <row r="1285" spans="2:2" x14ac:dyDescent="0.2">
      <c r="B1285" s="23" t="str">
        <f t="shared" ref="B1285:B1348" si="25">IF(OR(A1285="(blank)",A1285=""),"",1)</f>
        <v/>
      </c>
    </row>
    <row r="1286" spans="2:2" x14ac:dyDescent="0.2">
      <c r="B1286" s="23" t="str">
        <f t="shared" si="25"/>
        <v/>
      </c>
    </row>
    <row r="1287" spans="2:2" x14ac:dyDescent="0.2">
      <c r="B1287" s="23" t="str">
        <f t="shared" si="25"/>
        <v/>
      </c>
    </row>
    <row r="1288" spans="2:2" x14ac:dyDescent="0.2">
      <c r="B1288" s="23" t="str">
        <f t="shared" si="25"/>
        <v/>
      </c>
    </row>
    <row r="1289" spans="2:2" x14ac:dyDescent="0.2">
      <c r="B1289" s="23" t="str">
        <f t="shared" si="25"/>
        <v/>
      </c>
    </row>
    <row r="1290" spans="2:2" x14ac:dyDescent="0.2">
      <c r="B1290" s="23" t="str">
        <f t="shared" si="25"/>
        <v/>
      </c>
    </row>
    <row r="1291" spans="2:2" x14ac:dyDescent="0.2">
      <c r="B1291" s="23" t="str">
        <f t="shared" si="25"/>
        <v/>
      </c>
    </row>
    <row r="1292" spans="2:2" x14ac:dyDescent="0.2">
      <c r="B1292" s="23" t="str">
        <f t="shared" si="25"/>
        <v/>
      </c>
    </row>
    <row r="1293" spans="2:2" x14ac:dyDescent="0.2">
      <c r="B1293" s="23" t="str">
        <f t="shared" si="25"/>
        <v/>
      </c>
    </row>
    <row r="1294" spans="2:2" x14ac:dyDescent="0.2">
      <c r="B1294" s="23" t="str">
        <f t="shared" si="25"/>
        <v/>
      </c>
    </row>
    <row r="1295" spans="2:2" x14ac:dyDescent="0.2">
      <c r="B1295" s="23" t="str">
        <f t="shared" si="25"/>
        <v/>
      </c>
    </row>
    <row r="1296" spans="2:2" x14ac:dyDescent="0.2">
      <c r="B1296" s="23" t="str">
        <f t="shared" si="25"/>
        <v/>
      </c>
    </row>
    <row r="1297" spans="2:2" x14ac:dyDescent="0.2">
      <c r="B1297" s="23" t="str">
        <f t="shared" si="25"/>
        <v/>
      </c>
    </row>
    <row r="1298" spans="2:2" x14ac:dyDescent="0.2">
      <c r="B1298" s="23" t="str">
        <f t="shared" si="25"/>
        <v/>
      </c>
    </row>
    <row r="1299" spans="2:2" x14ac:dyDescent="0.2">
      <c r="B1299" s="23" t="str">
        <f t="shared" si="25"/>
        <v/>
      </c>
    </row>
    <row r="1300" spans="2:2" x14ac:dyDescent="0.2">
      <c r="B1300" s="23" t="str">
        <f t="shared" si="25"/>
        <v/>
      </c>
    </row>
    <row r="1301" spans="2:2" x14ac:dyDescent="0.2">
      <c r="B1301" s="23" t="str">
        <f t="shared" si="25"/>
        <v/>
      </c>
    </row>
    <row r="1302" spans="2:2" x14ac:dyDescent="0.2">
      <c r="B1302" s="23" t="str">
        <f t="shared" si="25"/>
        <v/>
      </c>
    </row>
    <row r="1303" spans="2:2" x14ac:dyDescent="0.2">
      <c r="B1303" s="23" t="str">
        <f t="shared" si="25"/>
        <v/>
      </c>
    </row>
    <row r="1304" spans="2:2" x14ac:dyDescent="0.2">
      <c r="B1304" s="23" t="str">
        <f t="shared" si="25"/>
        <v/>
      </c>
    </row>
    <row r="1305" spans="2:2" x14ac:dyDescent="0.2">
      <c r="B1305" s="23" t="str">
        <f t="shared" si="25"/>
        <v/>
      </c>
    </row>
    <row r="1306" spans="2:2" x14ac:dyDescent="0.2">
      <c r="B1306" s="23" t="str">
        <f t="shared" si="25"/>
        <v/>
      </c>
    </row>
    <row r="1307" spans="2:2" x14ac:dyDescent="0.2">
      <c r="B1307" s="23" t="str">
        <f t="shared" si="25"/>
        <v/>
      </c>
    </row>
    <row r="1308" spans="2:2" x14ac:dyDescent="0.2">
      <c r="B1308" s="23" t="str">
        <f t="shared" si="25"/>
        <v/>
      </c>
    </row>
    <row r="1309" spans="2:2" x14ac:dyDescent="0.2">
      <c r="B1309" s="23" t="str">
        <f t="shared" si="25"/>
        <v/>
      </c>
    </row>
    <row r="1310" spans="2:2" x14ac:dyDescent="0.2">
      <c r="B1310" s="23" t="str">
        <f t="shared" si="25"/>
        <v/>
      </c>
    </row>
    <row r="1311" spans="2:2" x14ac:dyDescent="0.2">
      <c r="B1311" s="23" t="str">
        <f t="shared" si="25"/>
        <v/>
      </c>
    </row>
    <row r="1312" spans="2:2" x14ac:dyDescent="0.2">
      <c r="B1312" s="23" t="str">
        <f t="shared" si="25"/>
        <v/>
      </c>
    </row>
    <row r="1313" spans="2:2" x14ac:dyDescent="0.2">
      <c r="B1313" s="23" t="str">
        <f t="shared" si="25"/>
        <v/>
      </c>
    </row>
    <row r="1314" spans="2:2" x14ac:dyDescent="0.2">
      <c r="B1314" s="23" t="str">
        <f t="shared" si="25"/>
        <v/>
      </c>
    </row>
    <row r="1315" spans="2:2" x14ac:dyDescent="0.2">
      <c r="B1315" s="23" t="str">
        <f t="shared" si="25"/>
        <v/>
      </c>
    </row>
    <row r="1316" spans="2:2" x14ac:dyDescent="0.2">
      <c r="B1316" s="23" t="str">
        <f t="shared" si="25"/>
        <v/>
      </c>
    </row>
    <row r="1317" spans="2:2" x14ac:dyDescent="0.2">
      <c r="B1317" s="23" t="str">
        <f t="shared" si="25"/>
        <v/>
      </c>
    </row>
    <row r="1318" spans="2:2" x14ac:dyDescent="0.2">
      <c r="B1318" s="23" t="str">
        <f t="shared" si="25"/>
        <v/>
      </c>
    </row>
    <row r="1319" spans="2:2" x14ac:dyDescent="0.2">
      <c r="B1319" s="23" t="str">
        <f t="shared" si="25"/>
        <v/>
      </c>
    </row>
    <row r="1320" spans="2:2" x14ac:dyDescent="0.2">
      <c r="B1320" s="23" t="str">
        <f t="shared" si="25"/>
        <v/>
      </c>
    </row>
    <row r="1321" spans="2:2" x14ac:dyDescent="0.2">
      <c r="B1321" s="23" t="str">
        <f t="shared" si="25"/>
        <v/>
      </c>
    </row>
    <row r="1322" spans="2:2" x14ac:dyDescent="0.2">
      <c r="B1322" s="23" t="str">
        <f t="shared" si="25"/>
        <v/>
      </c>
    </row>
    <row r="1323" spans="2:2" x14ac:dyDescent="0.2">
      <c r="B1323" s="23" t="str">
        <f t="shared" si="25"/>
        <v/>
      </c>
    </row>
    <row r="1324" spans="2:2" x14ac:dyDescent="0.2">
      <c r="B1324" s="23" t="str">
        <f t="shared" si="25"/>
        <v/>
      </c>
    </row>
    <row r="1325" spans="2:2" x14ac:dyDescent="0.2">
      <c r="B1325" s="23" t="str">
        <f t="shared" si="25"/>
        <v/>
      </c>
    </row>
    <row r="1326" spans="2:2" x14ac:dyDescent="0.2">
      <c r="B1326" s="23" t="str">
        <f t="shared" si="25"/>
        <v/>
      </c>
    </row>
    <row r="1327" spans="2:2" x14ac:dyDescent="0.2">
      <c r="B1327" s="23" t="str">
        <f t="shared" si="25"/>
        <v/>
      </c>
    </row>
    <row r="1328" spans="2:2" x14ac:dyDescent="0.2">
      <c r="B1328" s="23" t="str">
        <f t="shared" si="25"/>
        <v/>
      </c>
    </row>
    <row r="1329" spans="2:2" x14ac:dyDescent="0.2">
      <c r="B1329" s="23" t="str">
        <f t="shared" si="25"/>
        <v/>
      </c>
    </row>
    <row r="1330" spans="2:2" x14ac:dyDescent="0.2">
      <c r="B1330" s="23" t="str">
        <f t="shared" si="25"/>
        <v/>
      </c>
    </row>
    <row r="1331" spans="2:2" x14ac:dyDescent="0.2">
      <c r="B1331" s="23" t="str">
        <f t="shared" si="25"/>
        <v/>
      </c>
    </row>
    <row r="1332" spans="2:2" x14ac:dyDescent="0.2">
      <c r="B1332" s="23" t="str">
        <f t="shared" si="25"/>
        <v/>
      </c>
    </row>
    <row r="1333" spans="2:2" x14ac:dyDescent="0.2">
      <c r="B1333" s="23" t="str">
        <f t="shared" si="25"/>
        <v/>
      </c>
    </row>
    <row r="1334" spans="2:2" x14ac:dyDescent="0.2">
      <c r="B1334" s="23" t="str">
        <f t="shared" si="25"/>
        <v/>
      </c>
    </row>
    <row r="1335" spans="2:2" x14ac:dyDescent="0.2">
      <c r="B1335" s="23" t="str">
        <f t="shared" si="25"/>
        <v/>
      </c>
    </row>
    <row r="1336" spans="2:2" x14ac:dyDescent="0.2">
      <c r="B1336" s="23" t="str">
        <f t="shared" si="25"/>
        <v/>
      </c>
    </row>
    <row r="1337" spans="2:2" x14ac:dyDescent="0.2">
      <c r="B1337" s="23" t="str">
        <f t="shared" si="25"/>
        <v/>
      </c>
    </row>
    <row r="1338" spans="2:2" x14ac:dyDescent="0.2">
      <c r="B1338" s="23" t="str">
        <f t="shared" si="25"/>
        <v/>
      </c>
    </row>
    <row r="1339" spans="2:2" x14ac:dyDescent="0.2">
      <c r="B1339" s="23" t="str">
        <f t="shared" si="25"/>
        <v/>
      </c>
    </row>
    <row r="1340" spans="2:2" x14ac:dyDescent="0.2">
      <c r="B1340" s="23" t="str">
        <f t="shared" si="25"/>
        <v/>
      </c>
    </row>
    <row r="1341" spans="2:2" x14ac:dyDescent="0.2">
      <c r="B1341" s="23" t="str">
        <f t="shared" si="25"/>
        <v/>
      </c>
    </row>
    <row r="1342" spans="2:2" x14ac:dyDescent="0.2">
      <c r="B1342" s="23" t="str">
        <f t="shared" si="25"/>
        <v/>
      </c>
    </row>
    <row r="1343" spans="2:2" x14ac:dyDescent="0.2">
      <c r="B1343" s="23" t="str">
        <f t="shared" si="25"/>
        <v/>
      </c>
    </row>
    <row r="1344" spans="2:2" x14ac:dyDescent="0.2">
      <c r="B1344" s="23" t="str">
        <f t="shared" si="25"/>
        <v/>
      </c>
    </row>
    <row r="1345" spans="2:2" x14ac:dyDescent="0.2">
      <c r="B1345" s="23" t="str">
        <f t="shared" si="25"/>
        <v/>
      </c>
    </row>
    <row r="1346" spans="2:2" x14ac:dyDescent="0.2">
      <c r="B1346" s="23" t="str">
        <f t="shared" si="25"/>
        <v/>
      </c>
    </row>
    <row r="1347" spans="2:2" x14ac:dyDescent="0.2">
      <c r="B1347" s="23" t="str">
        <f t="shared" si="25"/>
        <v/>
      </c>
    </row>
    <row r="1348" spans="2:2" x14ac:dyDescent="0.2">
      <c r="B1348" s="23" t="str">
        <f t="shared" si="25"/>
        <v/>
      </c>
    </row>
    <row r="1349" spans="2:2" x14ac:dyDescent="0.2">
      <c r="B1349" s="23" t="str">
        <f t="shared" ref="B1349:B1412" si="26">IF(OR(A1349="(blank)",A1349=""),"",1)</f>
        <v/>
      </c>
    </row>
    <row r="1350" spans="2:2" x14ac:dyDescent="0.2">
      <c r="B1350" s="23" t="str">
        <f t="shared" si="26"/>
        <v/>
      </c>
    </row>
    <row r="1351" spans="2:2" x14ac:dyDescent="0.2">
      <c r="B1351" s="23" t="str">
        <f t="shared" si="26"/>
        <v/>
      </c>
    </row>
    <row r="1352" spans="2:2" x14ac:dyDescent="0.2">
      <c r="B1352" s="23" t="str">
        <f t="shared" si="26"/>
        <v/>
      </c>
    </row>
    <row r="1353" spans="2:2" x14ac:dyDescent="0.2">
      <c r="B1353" s="23" t="str">
        <f t="shared" si="26"/>
        <v/>
      </c>
    </row>
    <row r="1354" spans="2:2" x14ac:dyDescent="0.2">
      <c r="B1354" s="23" t="str">
        <f t="shared" si="26"/>
        <v/>
      </c>
    </row>
    <row r="1355" spans="2:2" x14ac:dyDescent="0.2">
      <c r="B1355" s="23" t="str">
        <f t="shared" si="26"/>
        <v/>
      </c>
    </row>
    <row r="1356" spans="2:2" x14ac:dyDescent="0.2">
      <c r="B1356" s="23" t="str">
        <f t="shared" si="26"/>
        <v/>
      </c>
    </row>
    <row r="1357" spans="2:2" x14ac:dyDescent="0.2">
      <c r="B1357" s="23" t="str">
        <f t="shared" si="26"/>
        <v/>
      </c>
    </row>
    <row r="1358" spans="2:2" x14ac:dyDescent="0.2">
      <c r="B1358" s="23" t="str">
        <f t="shared" si="26"/>
        <v/>
      </c>
    </row>
    <row r="1359" spans="2:2" x14ac:dyDescent="0.2">
      <c r="B1359" s="23" t="str">
        <f t="shared" si="26"/>
        <v/>
      </c>
    </row>
    <row r="1360" spans="2:2" x14ac:dyDescent="0.2">
      <c r="B1360" s="23" t="str">
        <f t="shared" si="26"/>
        <v/>
      </c>
    </row>
    <row r="1361" spans="2:2" x14ac:dyDescent="0.2">
      <c r="B1361" s="23" t="str">
        <f t="shared" si="26"/>
        <v/>
      </c>
    </row>
    <row r="1362" spans="2:2" x14ac:dyDescent="0.2">
      <c r="B1362" s="23" t="str">
        <f t="shared" si="26"/>
        <v/>
      </c>
    </row>
    <row r="1363" spans="2:2" x14ac:dyDescent="0.2">
      <c r="B1363" s="23" t="str">
        <f t="shared" si="26"/>
        <v/>
      </c>
    </row>
    <row r="1364" spans="2:2" x14ac:dyDescent="0.2">
      <c r="B1364" s="23" t="str">
        <f t="shared" si="26"/>
        <v/>
      </c>
    </row>
    <row r="1365" spans="2:2" x14ac:dyDescent="0.2">
      <c r="B1365" s="23" t="str">
        <f t="shared" si="26"/>
        <v/>
      </c>
    </row>
    <row r="1366" spans="2:2" x14ac:dyDescent="0.2">
      <c r="B1366" s="23" t="str">
        <f t="shared" si="26"/>
        <v/>
      </c>
    </row>
    <row r="1367" spans="2:2" x14ac:dyDescent="0.2">
      <c r="B1367" s="23" t="str">
        <f t="shared" si="26"/>
        <v/>
      </c>
    </row>
    <row r="1368" spans="2:2" x14ac:dyDescent="0.2">
      <c r="B1368" s="23" t="str">
        <f t="shared" si="26"/>
        <v/>
      </c>
    </row>
    <row r="1369" spans="2:2" x14ac:dyDescent="0.2">
      <c r="B1369" s="23" t="str">
        <f t="shared" si="26"/>
        <v/>
      </c>
    </row>
    <row r="1370" spans="2:2" x14ac:dyDescent="0.2">
      <c r="B1370" s="23" t="str">
        <f t="shared" si="26"/>
        <v/>
      </c>
    </row>
    <row r="1371" spans="2:2" x14ac:dyDescent="0.2">
      <c r="B1371" s="23" t="str">
        <f t="shared" si="26"/>
        <v/>
      </c>
    </row>
    <row r="1372" spans="2:2" x14ac:dyDescent="0.2">
      <c r="B1372" s="23" t="str">
        <f t="shared" si="26"/>
        <v/>
      </c>
    </row>
    <row r="1373" spans="2:2" x14ac:dyDescent="0.2">
      <c r="B1373" s="23" t="str">
        <f t="shared" si="26"/>
        <v/>
      </c>
    </row>
    <row r="1374" spans="2:2" x14ac:dyDescent="0.2">
      <c r="B1374" s="23" t="str">
        <f t="shared" si="26"/>
        <v/>
      </c>
    </row>
    <row r="1375" spans="2:2" x14ac:dyDescent="0.2">
      <c r="B1375" s="23" t="str">
        <f t="shared" si="26"/>
        <v/>
      </c>
    </row>
    <row r="1376" spans="2:2" x14ac:dyDescent="0.2">
      <c r="B1376" s="23" t="str">
        <f t="shared" si="26"/>
        <v/>
      </c>
    </row>
    <row r="1377" spans="2:2" x14ac:dyDescent="0.2">
      <c r="B1377" s="23" t="str">
        <f t="shared" si="26"/>
        <v/>
      </c>
    </row>
    <row r="1378" spans="2:2" x14ac:dyDescent="0.2">
      <c r="B1378" s="23" t="str">
        <f t="shared" si="26"/>
        <v/>
      </c>
    </row>
    <row r="1379" spans="2:2" x14ac:dyDescent="0.2">
      <c r="B1379" s="23" t="str">
        <f t="shared" si="26"/>
        <v/>
      </c>
    </row>
    <row r="1380" spans="2:2" x14ac:dyDescent="0.2">
      <c r="B1380" s="23" t="str">
        <f t="shared" si="26"/>
        <v/>
      </c>
    </row>
    <row r="1381" spans="2:2" x14ac:dyDescent="0.2">
      <c r="B1381" s="23" t="str">
        <f t="shared" si="26"/>
        <v/>
      </c>
    </row>
    <row r="1382" spans="2:2" x14ac:dyDescent="0.2">
      <c r="B1382" s="23" t="str">
        <f t="shared" si="26"/>
        <v/>
      </c>
    </row>
    <row r="1383" spans="2:2" x14ac:dyDescent="0.2">
      <c r="B1383" s="23" t="str">
        <f t="shared" si="26"/>
        <v/>
      </c>
    </row>
    <row r="1384" spans="2:2" x14ac:dyDescent="0.2">
      <c r="B1384" s="23" t="str">
        <f t="shared" si="26"/>
        <v/>
      </c>
    </row>
    <row r="1385" spans="2:2" x14ac:dyDescent="0.2">
      <c r="B1385" s="23" t="str">
        <f t="shared" si="26"/>
        <v/>
      </c>
    </row>
    <row r="1386" spans="2:2" x14ac:dyDescent="0.2">
      <c r="B1386" s="23" t="str">
        <f t="shared" si="26"/>
        <v/>
      </c>
    </row>
    <row r="1387" spans="2:2" x14ac:dyDescent="0.2">
      <c r="B1387" s="23" t="str">
        <f t="shared" si="26"/>
        <v/>
      </c>
    </row>
    <row r="1388" spans="2:2" x14ac:dyDescent="0.2">
      <c r="B1388" s="23" t="str">
        <f t="shared" si="26"/>
        <v/>
      </c>
    </row>
    <row r="1389" spans="2:2" x14ac:dyDescent="0.2">
      <c r="B1389" s="23" t="str">
        <f t="shared" si="26"/>
        <v/>
      </c>
    </row>
    <row r="1390" spans="2:2" x14ac:dyDescent="0.2">
      <c r="B1390" s="23" t="str">
        <f t="shared" si="26"/>
        <v/>
      </c>
    </row>
    <row r="1391" spans="2:2" x14ac:dyDescent="0.2">
      <c r="B1391" s="23" t="str">
        <f t="shared" si="26"/>
        <v/>
      </c>
    </row>
    <row r="1392" spans="2:2" x14ac:dyDescent="0.2">
      <c r="B1392" s="23" t="str">
        <f t="shared" si="26"/>
        <v/>
      </c>
    </row>
    <row r="1393" spans="2:2" x14ac:dyDescent="0.2">
      <c r="B1393" s="23" t="str">
        <f t="shared" si="26"/>
        <v/>
      </c>
    </row>
    <row r="1394" spans="2:2" x14ac:dyDescent="0.2">
      <c r="B1394" s="23" t="str">
        <f t="shared" si="26"/>
        <v/>
      </c>
    </row>
    <row r="1395" spans="2:2" x14ac:dyDescent="0.2">
      <c r="B1395" s="23" t="str">
        <f t="shared" si="26"/>
        <v/>
      </c>
    </row>
    <row r="1396" spans="2:2" x14ac:dyDescent="0.2">
      <c r="B1396" s="23" t="str">
        <f t="shared" si="26"/>
        <v/>
      </c>
    </row>
    <row r="1397" spans="2:2" x14ac:dyDescent="0.2">
      <c r="B1397" s="23" t="str">
        <f t="shared" si="26"/>
        <v/>
      </c>
    </row>
    <row r="1398" spans="2:2" x14ac:dyDescent="0.2">
      <c r="B1398" s="23" t="str">
        <f t="shared" si="26"/>
        <v/>
      </c>
    </row>
    <row r="1399" spans="2:2" x14ac:dyDescent="0.2">
      <c r="B1399" s="23" t="str">
        <f t="shared" si="26"/>
        <v/>
      </c>
    </row>
    <row r="1400" spans="2:2" x14ac:dyDescent="0.2">
      <c r="B1400" s="23" t="str">
        <f t="shared" si="26"/>
        <v/>
      </c>
    </row>
    <row r="1401" spans="2:2" x14ac:dyDescent="0.2">
      <c r="B1401" s="23" t="str">
        <f t="shared" si="26"/>
        <v/>
      </c>
    </row>
    <row r="1402" spans="2:2" x14ac:dyDescent="0.2">
      <c r="B1402" s="23" t="str">
        <f t="shared" si="26"/>
        <v/>
      </c>
    </row>
    <row r="1403" spans="2:2" x14ac:dyDescent="0.2">
      <c r="B1403" s="23" t="str">
        <f t="shared" si="26"/>
        <v/>
      </c>
    </row>
    <row r="1404" spans="2:2" x14ac:dyDescent="0.2">
      <c r="B1404" s="23" t="str">
        <f t="shared" si="26"/>
        <v/>
      </c>
    </row>
    <row r="1405" spans="2:2" x14ac:dyDescent="0.2">
      <c r="B1405" s="23" t="str">
        <f t="shared" si="26"/>
        <v/>
      </c>
    </row>
    <row r="1406" spans="2:2" x14ac:dyDescent="0.2">
      <c r="B1406" s="23" t="str">
        <f t="shared" si="26"/>
        <v/>
      </c>
    </row>
    <row r="1407" spans="2:2" x14ac:dyDescent="0.2">
      <c r="B1407" s="23" t="str">
        <f t="shared" si="26"/>
        <v/>
      </c>
    </row>
    <row r="1408" spans="2:2" x14ac:dyDescent="0.2">
      <c r="B1408" s="23" t="str">
        <f t="shared" si="26"/>
        <v/>
      </c>
    </row>
    <row r="1409" spans="2:2" x14ac:dyDescent="0.2">
      <c r="B1409" s="23" t="str">
        <f t="shared" si="26"/>
        <v/>
      </c>
    </row>
    <row r="1410" spans="2:2" x14ac:dyDescent="0.2">
      <c r="B1410" s="23" t="str">
        <f t="shared" si="26"/>
        <v/>
      </c>
    </row>
    <row r="1411" spans="2:2" x14ac:dyDescent="0.2">
      <c r="B1411" s="23" t="str">
        <f t="shared" si="26"/>
        <v/>
      </c>
    </row>
    <row r="1412" spans="2:2" x14ac:dyDescent="0.2">
      <c r="B1412" s="23" t="str">
        <f t="shared" si="26"/>
        <v/>
      </c>
    </row>
    <row r="1413" spans="2:2" x14ac:dyDescent="0.2">
      <c r="B1413" s="23" t="str">
        <f t="shared" ref="B1413:B1476" si="27">IF(OR(A1413="(blank)",A1413=""),"",1)</f>
        <v/>
      </c>
    </row>
    <row r="1414" spans="2:2" x14ac:dyDescent="0.2">
      <c r="B1414" s="23" t="str">
        <f t="shared" si="27"/>
        <v/>
      </c>
    </row>
    <row r="1415" spans="2:2" x14ac:dyDescent="0.2">
      <c r="B1415" s="23" t="str">
        <f t="shared" si="27"/>
        <v/>
      </c>
    </row>
    <row r="1416" spans="2:2" x14ac:dyDescent="0.2">
      <c r="B1416" s="23" t="str">
        <f t="shared" si="27"/>
        <v/>
      </c>
    </row>
    <row r="1417" spans="2:2" x14ac:dyDescent="0.2">
      <c r="B1417" s="23" t="str">
        <f t="shared" si="27"/>
        <v/>
      </c>
    </row>
    <row r="1418" spans="2:2" x14ac:dyDescent="0.2">
      <c r="B1418" s="23" t="str">
        <f t="shared" si="27"/>
        <v/>
      </c>
    </row>
    <row r="1419" spans="2:2" x14ac:dyDescent="0.2">
      <c r="B1419" s="23" t="str">
        <f t="shared" si="27"/>
        <v/>
      </c>
    </row>
    <row r="1420" spans="2:2" x14ac:dyDescent="0.2">
      <c r="B1420" s="23" t="str">
        <f t="shared" si="27"/>
        <v/>
      </c>
    </row>
    <row r="1421" spans="2:2" x14ac:dyDescent="0.2">
      <c r="B1421" s="23" t="str">
        <f t="shared" si="27"/>
        <v/>
      </c>
    </row>
    <row r="1422" spans="2:2" x14ac:dyDescent="0.2">
      <c r="B1422" s="23" t="str">
        <f t="shared" si="27"/>
        <v/>
      </c>
    </row>
    <row r="1423" spans="2:2" x14ac:dyDescent="0.2">
      <c r="B1423" s="23" t="str">
        <f t="shared" si="27"/>
        <v/>
      </c>
    </row>
    <row r="1424" spans="2:2" x14ac:dyDescent="0.2">
      <c r="B1424" s="23" t="str">
        <f t="shared" si="27"/>
        <v/>
      </c>
    </row>
    <row r="1425" spans="2:2" x14ac:dyDescent="0.2">
      <c r="B1425" s="23" t="str">
        <f t="shared" si="27"/>
        <v/>
      </c>
    </row>
    <row r="1426" spans="2:2" x14ac:dyDescent="0.2">
      <c r="B1426" s="23" t="str">
        <f t="shared" si="27"/>
        <v/>
      </c>
    </row>
    <row r="1427" spans="2:2" x14ac:dyDescent="0.2">
      <c r="B1427" s="23" t="str">
        <f t="shared" si="27"/>
        <v/>
      </c>
    </row>
    <row r="1428" spans="2:2" x14ac:dyDescent="0.2">
      <c r="B1428" s="23" t="str">
        <f t="shared" si="27"/>
        <v/>
      </c>
    </row>
    <row r="1429" spans="2:2" x14ac:dyDescent="0.2">
      <c r="B1429" s="23" t="str">
        <f t="shared" si="27"/>
        <v/>
      </c>
    </row>
    <row r="1430" spans="2:2" x14ac:dyDescent="0.2">
      <c r="B1430" s="23" t="str">
        <f t="shared" si="27"/>
        <v/>
      </c>
    </row>
    <row r="1431" spans="2:2" x14ac:dyDescent="0.2">
      <c r="B1431" s="23" t="str">
        <f t="shared" si="27"/>
        <v/>
      </c>
    </row>
    <row r="1432" spans="2:2" x14ac:dyDescent="0.2">
      <c r="B1432" s="23" t="str">
        <f t="shared" si="27"/>
        <v/>
      </c>
    </row>
    <row r="1433" spans="2:2" x14ac:dyDescent="0.2">
      <c r="B1433" s="23" t="str">
        <f t="shared" si="27"/>
        <v/>
      </c>
    </row>
    <row r="1434" spans="2:2" x14ac:dyDescent="0.2">
      <c r="B1434" s="23" t="str">
        <f t="shared" si="27"/>
        <v/>
      </c>
    </row>
    <row r="1435" spans="2:2" x14ac:dyDescent="0.2">
      <c r="B1435" s="23" t="str">
        <f t="shared" si="27"/>
        <v/>
      </c>
    </row>
    <row r="1436" spans="2:2" x14ac:dyDescent="0.2">
      <c r="B1436" s="23" t="str">
        <f t="shared" si="27"/>
        <v/>
      </c>
    </row>
    <row r="1437" spans="2:2" x14ac:dyDescent="0.2">
      <c r="B1437" s="23" t="str">
        <f t="shared" si="27"/>
        <v/>
      </c>
    </row>
    <row r="1438" spans="2:2" x14ac:dyDescent="0.2">
      <c r="B1438" s="23" t="str">
        <f t="shared" si="27"/>
        <v/>
      </c>
    </row>
    <row r="1439" spans="2:2" x14ac:dyDescent="0.2">
      <c r="B1439" s="23" t="str">
        <f t="shared" si="27"/>
        <v/>
      </c>
    </row>
    <row r="1440" spans="2:2" x14ac:dyDescent="0.2">
      <c r="B1440" s="23" t="str">
        <f t="shared" si="27"/>
        <v/>
      </c>
    </row>
    <row r="1441" spans="2:2" x14ac:dyDescent="0.2">
      <c r="B1441" s="23" t="str">
        <f t="shared" si="27"/>
        <v/>
      </c>
    </row>
    <row r="1442" spans="2:2" x14ac:dyDescent="0.2">
      <c r="B1442" s="23" t="str">
        <f t="shared" si="27"/>
        <v/>
      </c>
    </row>
    <row r="1443" spans="2:2" x14ac:dyDescent="0.2">
      <c r="B1443" s="23" t="str">
        <f t="shared" si="27"/>
        <v/>
      </c>
    </row>
    <row r="1444" spans="2:2" x14ac:dyDescent="0.2">
      <c r="B1444" s="23" t="str">
        <f t="shared" si="27"/>
        <v/>
      </c>
    </row>
    <row r="1445" spans="2:2" x14ac:dyDescent="0.2">
      <c r="B1445" s="23" t="str">
        <f t="shared" si="27"/>
        <v/>
      </c>
    </row>
    <row r="1446" spans="2:2" x14ac:dyDescent="0.2">
      <c r="B1446" s="23" t="str">
        <f t="shared" si="27"/>
        <v/>
      </c>
    </row>
    <row r="1447" spans="2:2" x14ac:dyDescent="0.2">
      <c r="B1447" s="23" t="str">
        <f t="shared" si="27"/>
        <v/>
      </c>
    </row>
    <row r="1448" spans="2:2" x14ac:dyDescent="0.2">
      <c r="B1448" s="23" t="str">
        <f t="shared" si="27"/>
        <v/>
      </c>
    </row>
    <row r="1449" spans="2:2" x14ac:dyDescent="0.2">
      <c r="B1449" s="23" t="str">
        <f t="shared" si="27"/>
        <v/>
      </c>
    </row>
    <row r="1450" spans="2:2" x14ac:dyDescent="0.2">
      <c r="B1450" s="23" t="str">
        <f t="shared" si="27"/>
        <v/>
      </c>
    </row>
    <row r="1451" spans="2:2" x14ac:dyDescent="0.2">
      <c r="B1451" s="23" t="str">
        <f t="shared" si="27"/>
        <v/>
      </c>
    </row>
    <row r="1452" spans="2:2" x14ac:dyDescent="0.2">
      <c r="B1452" s="23" t="str">
        <f t="shared" si="27"/>
        <v/>
      </c>
    </row>
    <row r="1453" spans="2:2" x14ac:dyDescent="0.2">
      <c r="B1453" s="23" t="str">
        <f t="shared" si="27"/>
        <v/>
      </c>
    </row>
    <row r="1454" spans="2:2" x14ac:dyDescent="0.2">
      <c r="B1454" s="23" t="str">
        <f t="shared" si="27"/>
        <v/>
      </c>
    </row>
    <row r="1455" spans="2:2" x14ac:dyDescent="0.2">
      <c r="B1455" s="23" t="str">
        <f t="shared" si="27"/>
        <v/>
      </c>
    </row>
    <row r="1456" spans="2:2" x14ac:dyDescent="0.2">
      <c r="B1456" s="23" t="str">
        <f t="shared" si="27"/>
        <v/>
      </c>
    </row>
    <row r="1457" spans="2:2" x14ac:dyDescent="0.2">
      <c r="B1457" s="23" t="str">
        <f t="shared" si="27"/>
        <v/>
      </c>
    </row>
    <row r="1458" spans="2:2" x14ac:dyDescent="0.2">
      <c r="B1458" s="23" t="str">
        <f t="shared" si="27"/>
        <v/>
      </c>
    </row>
    <row r="1459" spans="2:2" x14ac:dyDescent="0.2">
      <c r="B1459" s="23" t="str">
        <f t="shared" si="27"/>
        <v/>
      </c>
    </row>
    <row r="1460" spans="2:2" x14ac:dyDescent="0.2">
      <c r="B1460" s="23" t="str">
        <f t="shared" si="27"/>
        <v/>
      </c>
    </row>
    <row r="1461" spans="2:2" x14ac:dyDescent="0.2">
      <c r="B1461" s="23" t="str">
        <f t="shared" si="27"/>
        <v/>
      </c>
    </row>
    <row r="1462" spans="2:2" x14ac:dyDescent="0.2">
      <c r="B1462" s="23" t="str">
        <f t="shared" si="27"/>
        <v/>
      </c>
    </row>
    <row r="1463" spans="2:2" x14ac:dyDescent="0.2">
      <c r="B1463" s="23" t="str">
        <f t="shared" si="27"/>
        <v/>
      </c>
    </row>
    <row r="1464" spans="2:2" x14ac:dyDescent="0.2">
      <c r="B1464" s="23" t="str">
        <f t="shared" si="27"/>
        <v/>
      </c>
    </row>
    <row r="1465" spans="2:2" x14ac:dyDescent="0.2">
      <c r="B1465" s="23" t="str">
        <f t="shared" si="27"/>
        <v/>
      </c>
    </row>
    <row r="1466" spans="2:2" x14ac:dyDescent="0.2">
      <c r="B1466" s="23" t="str">
        <f t="shared" si="27"/>
        <v/>
      </c>
    </row>
    <row r="1467" spans="2:2" x14ac:dyDescent="0.2">
      <c r="B1467" s="23" t="str">
        <f t="shared" si="27"/>
        <v/>
      </c>
    </row>
    <row r="1468" spans="2:2" x14ac:dyDescent="0.2">
      <c r="B1468" s="23" t="str">
        <f t="shared" si="27"/>
        <v/>
      </c>
    </row>
    <row r="1469" spans="2:2" x14ac:dyDescent="0.2">
      <c r="B1469" s="23" t="str">
        <f t="shared" si="27"/>
        <v/>
      </c>
    </row>
    <row r="1470" spans="2:2" x14ac:dyDescent="0.2">
      <c r="B1470" s="23" t="str">
        <f t="shared" si="27"/>
        <v/>
      </c>
    </row>
    <row r="1471" spans="2:2" x14ac:dyDescent="0.2">
      <c r="B1471" s="23" t="str">
        <f t="shared" si="27"/>
        <v/>
      </c>
    </row>
    <row r="1472" spans="2:2" x14ac:dyDescent="0.2">
      <c r="B1472" s="23" t="str">
        <f t="shared" si="27"/>
        <v/>
      </c>
    </row>
    <row r="1473" spans="2:2" x14ac:dyDescent="0.2">
      <c r="B1473" s="23" t="str">
        <f t="shared" si="27"/>
        <v/>
      </c>
    </row>
    <row r="1474" spans="2:2" x14ac:dyDescent="0.2">
      <c r="B1474" s="23" t="str">
        <f t="shared" si="27"/>
        <v/>
      </c>
    </row>
    <row r="1475" spans="2:2" x14ac:dyDescent="0.2">
      <c r="B1475" s="23" t="str">
        <f t="shared" si="27"/>
        <v/>
      </c>
    </row>
    <row r="1476" spans="2:2" x14ac:dyDescent="0.2">
      <c r="B1476" s="23" t="str">
        <f t="shared" si="27"/>
        <v/>
      </c>
    </row>
    <row r="1477" spans="2:2" x14ac:dyDescent="0.2">
      <c r="B1477" s="23" t="str">
        <f t="shared" ref="B1477:B1540" si="28">IF(OR(A1477="(blank)",A1477=""),"",1)</f>
        <v/>
      </c>
    </row>
    <row r="1478" spans="2:2" x14ac:dyDescent="0.2">
      <c r="B1478" s="23" t="str">
        <f t="shared" si="28"/>
        <v/>
      </c>
    </row>
    <row r="1479" spans="2:2" x14ac:dyDescent="0.2">
      <c r="B1479" s="23" t="str">
        <f t="shared" si="28"/>
        <v/>
      </c>
    </row>
    <row r="1480" spans="2:2" x14ac:dyDescent="0.2">
      <c r="B1480" s="23" t="str">
        <f t="shared" si="28"/>
        <v/>
      </c>
    </row>
    <row r="1481" spans="2:2" x14ac:dyDescent="0.2">
      <c r="B1481" s="23" t="str">
        <f t="shared" si="28"/>
        <v/>
      </c>
    </row>
    <row r="1482" spans="2:2" x14ac:dyDescent="0.2">
      <c r="B1482" s="23" t="str">
        <f t="shared" si="28"/>
        <v/>
      </c>
    </row>
    <row r="1483" spans="2:2" x14ac:dyDescent="0.2">
      <c r="B1483" s="23" t="str">
        <f t="shared" si="28"/>
        <v/>
      </c>
    </row>
    <row r="1484" spans="2:2" x14ac:dyDescent="0.2">
      <c r="B1484" s="23" t="str">
        <f t="shared" si="28"/>
        <v/>
      </c>
    </row>
    <row r="1485" spans="2:2" x14ac:dyDescent="0.2">
      <c r="B1485" s="23" t="str">
        <f t="shared" si="28"/>
        <v/>
      </c>
    </row>
    <row r="1486" spans="2:2" x14ac:dyDescent="0.2">
      <c r="B1486" s="23" t="str">
        <f t="shared" si="28"/>
        <v/>
      </c>
    </row>
    <row r="1487" spans="2:2" x14ac:dyDescent="0.2">
      <c r="B1487" s="23" t="str">
        <f t="shared" si="28"/>
        <v/>
      </c>
    </row>
    <row r="1488" spans="2:2" x14ac:dyDescent="0.2">
      <c r="B1488" s="23" t="str">
        <f t="shared" si="28"/>
        <v/>
      </c>
    </row>
    <row r="1489" spans="2:2" x14ac:dyDescent="0.2">
      <c r="B1489" s="23" t="str">
        <f t="shared" si="28"/>
        <v/>
      </c>
    </row>
    <row r="1490" spans="2:2" x14ac:dyDescent="0.2">
      <c r="B1490" s="23" t="str">
        <f t="shared" si="28"/>
        <v/>
      </c>
    </row>
    <row r="1491" spans="2:2" x14ac:dyDescent="0.2">
      <c r="B1491" s="23" t="str">
        <f t="shared" si="28"/>
        <v/>
      </c>
    </row>
    <row r="1492" spans="2:2" x14ac:dyDescent="0.2">
      <c r="B1492" s="23" t="str">
        <f t="shared" si="28"/>
        <v/>
      </c>
    </row>
    <row r="1493" spans="2:2" x14ac:dyDescent="0.2">
      <c r="B1493" s="23" t="str">
        <f t="shared" si="28"/>
        <v/>
      </c>
    </row>
    <row r="1494" spans="2:2" x14ac:dyDescent="0.2">
      <c r="B1494" s="23" t="str">
        <f t="shared" si="28"/>
        <v/>
      </c>
    </row>
    <row r="1495" spans="2:2" x14ac:dyDescent="0.2">
      <c r="B1495" s="23" t="str">
        <f t="shared" si="28"/>
        <v/>
      </c>
    </row>
    <row r="1496" spans="2:2" x14ac:dyDescent="0.2">
      <c r="B1496" s="23" t="str">
        <f t="shared" si="28"/>
        <v/>
      </c>
    </row>
    <row r="1497" spans="2:2" x14ac:dyDescent="0.2">
      <c r="B1497" s="23" t="str">
        <f t="shared" si="28"/>
        <v/>
      </c>
    </row>
    <row r="1498" spans="2:2" x14ac:dyDescent="0.2">
      <c r="B1498" s="23" t="str">
        <f t="shared" si="28"/>
        <v/>
      </c>
    </row>
    <row r="1499" spans="2:2" x14ac:dyDescent="0.2">
      <c r="B1499" s="23" t="str">
        <f t="shared" si="28"/>
        <v/>
      </c>
    </row>
    <row r="1500" spans="2:2" x14ac:dyDescent="0.2">
      <c r="B1500" s="23" t="str">
        <f t="shared" si="28"/>
        <v/>
      </c>
    </row>
    <row r="1501" spans="2:2" x14ac:dyDescent="0.2">
      <c r="B1501" s="23" t="str">
        <f t="shared" si="28"/>
        <v/>
      </c>
    </row>
    <row r="1502" spans="2:2" x14ac:dyDescent="0.2">
      <c r="B1502" s="23" t="str">
        <f t="shared" si="28"/>
        <v/>
      </c>
    </row>
    <row r="1503" spans="2:2" x14ac:dyDescent="0.2">
      <c r="B1503" s="23" t="str">
        <f t="shared" si="28"/>
        <v/>
      </c>
    </row>
    <row r="1504" spans="2:2" x14ac:dyDescent="0.2">
      <c r="B1504" s="23" t="str">
        <f t="shared" si="28"/>
        <v/>
      </c>
    </row>
    <row r="1505" spans="2:2" x14ac:dyDescent="0.2">
      <c r="B1505" s="23" t="str">
        <f t="shared" si="28"/>
        <v/>
      </c>
    </row>
    <row r="1506" spans="2:2" x14ac:dyDescent="0.2">
      <c r="B1506" s="23" t="str">
        <f t="shared" si="28"/>
        <v/>
      </c>
    </row>
    <row r="1507" spans="2:2" x14ac:dyDescent="0.2">
      <c r="B1507" s="23" t="str">
        <f t="shared" si="28"/>
        <v/>
      </c>
    </row>
    <row r="1508" spans="2:2" x14ac:dyDescent="0.2">
      <c r="B1508" s="23" t="str">
        <f t="shared" si="28"/>
        <v/>
      </c>
    </row>
    <row r="1509" spans="2:2" x14ac:dyDescent="0.2">
      <c r="B1509" s="23" t="str">
        <f t="shared" si="28"/>
        <v/>
      </c>
    </row>
    <row r="1510" spans="2:2" x14ac:dyDescent="0.2">
      <c r="B1510" s="23" t="str">
        <f t="shared" si="28"/>
        <v/>
      </c>
    </row>
    <row r="1511" spans="2:2" x14ac:dyDescent="0.2">
      <c r="B1511" s="23" t="str">
        <f t="shared" si="28"/>
        <v/>
      </c>
    </row>
    <row r="1512" spans="2:2" x14ac:dyDescent="0.2">
      <c r="B1512" s="23" t="str">
        <f t="shared" si="28"/>
        <v/>
      </c>
    </row>
    <row r="1513" spans="2:2" x14ac:dyDescent="0.2">
      <c r="B1513" s="23" t="str">
        <f t="shared" si="28"/>
        <v/>
      </c>
    </row>
    <row r="1514" spans="2:2" x14ac:dyDescent="0.2">
      <c r="B1514" s="23" t="str">
        <f t="shared" si="28"/>
        <v/>
      </c>
    </row>
    <row r="1515" spans="2:2" x14ac:dyDescent="0.2">
      <c r="B1515" s="23" t="str">
        <f t="shared" si="28"/>
        <v/>
      </c>
    </row>
    <row r="1516" spans="2:2" x14ac:dyDescent="0.2">
      <c r="B1516" s="23" t="str">
        <f t="shared" si="28"/>
        <v/>
      </c>
    </row>
    <row r="1517" spans="2:2" x14ac:dyDescent="0.2">
      <c r="B1517" s="23" t="str">
        <f t="shared" si="28"/>
        <v/>
      </c>
    </row>
    <row r="1518" spans="2:2" x14ac:dyDescent="0.2">
      <c r="B1518" s="23" t="str">
        <f t="shared" si="28"/>
        <v/>
      </c>
    </row>
    <row r="1519" spans="2:2" x14ac:dyDescent="0.2">
      <c r="B1519" s="23" t="str">
        <f t="shared" si="28"/>
        <v/>
      </c>
    </row>
    <row r="1520" spans="2:2" x14ac:dyDescent="0.2">
      <c r="B1520" s="23" t="str">
        <f t="shared" si="28"/>
        <v/>
      </c>
    </row>
    <row r="1521" spans="2:2" x14ac:dyDescent="0.2">
      <c r="B1521" s="23" t="str">
        <f t="shared" si="28"/>
        <v/>
      </c>
    </row>
    <row r="1522" spans="2:2" x14ac:dyDescent="0.2">
      <c r="B1522" s="23" t="str">
        <f t="shared" si="28"/>
        <v/>
      </c>
    </row>
    <row r="1523" spans="2:2" x14ac:dyDescent="0.2">
      <c r="B1523" s="23" t="str">
        <f t="shared" si="28"/>
        <v/>
      </c>
    </row>
    <row r="1524" spans="2:2" x14ac:dyDescent="0.2">
      <c r="B1524" s="23" t="str">
        <f t="shared" si="28"/>
        <v/>
      </c>
    </row>
    <row r="1525" spans="2:2" x14ac:dyDescent="0.2">
      <c r="B1525" s="23" t="str">
        <f t="shared" si="28"/>
        <v/>
      </c>
    </row>
    <row r="1526" spans="2:2" x14ac:dyDescent="0.2">
      <c r="B1526" s="23" t="str">
        <f t="shared" si="28"/>
        <v/>
      </c>
    </row>
    <row r="1527" spans="2:2" x14ac:dyDescent="0.2">
      <c r="B1527" s="23" t="str">
        <f t="shared" si="28"/>
        <v/>
      </c>
    </row>
    <row r="1528" spans="2:2" x14ac:dyDescent="0.2">
      <c r="B1528" s="23" t="str">
        <f t="shared" si="28"/>
        <v/>
      </c>
    </row>
    <row r="1529" spans="2:2" x14ac:dyDescent="0.2">
      <c r="B1529" s="23" t="str">
        <f t="shared" si="28"/>
        <v/>
      </c>
    </row>
    <row r="1530" spans="2:2" x14ac:dyDescent="0.2">
      <c r="B1530" s="23" t="str">
        <f t="shared" si="28"/>
        <v/>
      </c>
    </row>
    <row r="1531" spans="2:2" x14ac:dyDescent="0.2">
      <c r="B1531" s="23" t="str">
        <f t="shared" si="28"/>
        <v/>
      </c>
    </row>
    <row r="1532" spans="2:2" x14ac:dyDescent="0.2">
      <c r="B1532" s="23" t="str">
        <f t="shared" si="28"/>
        <v/>
      </c>
    </row>
    <row r="1533" spans="2:2" x14ac:dyDescent="0.2">
      <c r="B1533" s="23" t="str">
        <f t="shared" si="28"/>
        <v/>
      </c>
    </row>
    <row r="1534" spans="2:2" x14ac:dyDescent="0.2">
      <c r="B1534" s="23" t="str">
        <f t="shared" si="28"/>
        <v/>
      </c>
    </row>
    <row r="1535" spans="2:2" x14ac:dyDescent="0.2">
      <c r="B1535" s="23" t="str">
        <f t="shared" si="28"/>
        <v/>
      </c>
    </row>
    <row r="1536" spans="2:2" x14ac:dyDescent="0.2">
      <c r="B1536" s="23" t="str">
        <f t="shared" si="28"/>
        <v/>
      </c>
    </row>
    <row r="1537" spans="2:2" x14ac:dyDescent="0.2">
      <c r="B1537" s="23" t="str">
        <f t="shared" si="28"/>
        <v/>
      </c>
    </row>
    <row r="1538" spans="2:2" x14ac:dyDescent="0.2">
      <c r="B1538" s="23" t="str">
        <f t="shared" si="28"/>
        <v/>
      </c>
    </row>
    <row r="1539" spans="2:2" x14ac:dyDescent="0.2">
      <c r="B1539" s="23" t="str">
        <f t="shared" si="28"/>
        <v/>
      </c>
    </row>
    <row r="1540" spans="2:2" x14ac:dyDescent="0.2">
      <c r="B1540" s="23" t="str">
        <f t="shared" si="28"/>
        <v/>
      </c>
    </row>
    <row r="1541" spans="2:2" x14ac:dyDescent="0.2">
      <c r="B1541" s="23" t="str">
        <f t="shared" ref="B1541:B1604" si="29">IF(OR(A1541="(blank)",A1541=""),"",1)</f>
        <v/>
      </c>
    </row>
    <row r="1542" spans="2:2" x14ac:dyDescent="0.2">
      <c r="B1542" s="23" t="str">
        <f t="shared" si="29"/>
        <v/>
      </c>
    </row>
    <row r="1543" spans="2:2" x14ac:dyDescent="0.2">
      <c r="B1543" s="23" t="str">
        <f t="shared" si="29"/>
        <v/>
      </c>
    </row>
    <row r="1544" spans="2:2" x14ac:dyDescent="0.2">
      <c r="B1544" s="23" t="str">
        <f t="shared" si="29"/>
        <v/>
      </c>
    </row>
    <row r="1545" spans="2:2" x14ac:dyDescent="0.2">
      <c r="B1545" s="23" t="str">
        <f t="shared" si="29"/>
        <v/>
      </c>
    </row>
    <row r="1546" spans="2:2" x14ac:dyDescent="0.2">
      <c r="B1546" s="23" t="str">
        <f t="shared" si="29"/>
        <v/>
      </c>
    </row>
    <row r="1547" spans="2:2" x14ac:dyDescent="0.2">
      <c r="B1547" s="23" t="str">
        <f t="shared" si="29"/>
        <v/>
      </c>
    </row>
    <row r="1548" spans="2:2" x14ac:dyDescent="0.2">
      <c r="B1548" s="23" t="str">
        <f t="shared" si="29"/>
        <v/>
      </c>
    </row>
    <row r="1549" spans="2:2" x14ac:dyDescent="0.2">
      <c r="B1549" s="23" t="str">
        <f t="shared" si="29"/>
        <v/>
      </c>
    </row>
    <row r="1550" spans="2:2" x14ac:dyDescent="0.2">
      <c r="B1550" s="23" t="str">
        <f t="shared" si="29"/>
        <v/>
      </c>
    </row>
    <row r="1551" spans="2:2" x14ac:dyDescent="0.2">
      <c r="B1551" s="23" t="str">
        <f t="shared" si="29"/>
        <v/>
      </c>
    </row>
    <row r="1552" spans="2:2" x14ac:dyDescent="0.2">
      <c r="B1552" s="23" t="str">
        <f t="shared" si="29"/>
        <v/>
      </c>
    </row>
    <row r="1553" spans="2:2" x14ac:dyDescent="0.2">
      <c r="B1553" s="23" t="str">
        <f t="shared" si="29"/>
        <v/>
      </c>
    </row>
    <row r="1554" spans="2:2" x14ac:dyDescent="0.2">
      <c r="B1554" s="23" t="str">
        <f t="shared" si="29"/>
        <v/>
      </c>
    </row>
    <row r="1555" spans="2:2" x14ac:dyDescent="0.2">
      <c r="B1555" s="23" t="str">
        <f t="shared" si="29"/>
        <v/>
      </c>
    </row>
    <row r="1556" spans="2:2" x14ac:dyDescent="0.2">
      <c r="B1556" s="23" t="str">
        <f t="shared" si="29"/>
        <v/>
      </c>
    </row>
    <row r="1557" spans="2:2" x14ac:dyDescent="0.2">
      <c r="B1557" s="23" t="str">
        <f t="shared" si="29"/>
        <v/>
      </c>
    </row>
    <row r="1558" spans="2:2" x14ac:dyDescent="0.2">
      <c r="B1558" s="23" t="str">
        <f t="shared" si="29"/>
        <v/>
      </c>
    </row>
    <row r="1559" spans="2:2" x14ac:dyDescent="0.2">
      <c r="B1559" s="23" t="str">
        <f t="shared" si="29"/>
        <v/>
      </c>
    </row>
    <row r="1560" spans="2:2" x14ac:dyDescent="0.2">
      <c r="B1560" s="23" t="str">
        <f t="shared" si="29"/>
        <v/>
      </c>
    </row>
    <row r="1561" spans="2:2" x14ac:dyDescent="0.2">
      <c r="B1561" s="23" t="str">
        <f t="shared" si="29"/>
        <v/>
      </c>
    </row>
    <row r="1562" spans="2:2" x14ac:dyDescent="0.2">
      <c r="B1562" s="23" t="str">
        <f t="shared" si="29"/>
        <v/>
      </c>
    </row>
    <row r="1563" spans="2:2" x14ac:dyDescent="0.2">
      <c r="B1563" s="23" t="str">
        <f t="shared" si="29"/>
        <v/>
      </c>
    </row>
    <row r="1564" spans="2:2" x14ac:dyDescent="0.2">
      <c r="B1564" s="23" t="str">
        <f t="shared" si="29"/>
        <v/>
      </c>
    </row>
    <row r="1565" spans="2:2" x14ac:dyDescent="0.2">
      <c r="B1565" s="23" t="str">
        <f t="shared" si="29"/>
        <v/>
      </c>
    </row>
    <row r="1566" spans="2:2" x14ac:dyDescent="0.2">
      <c r="B1566" s="23" t="str">
        <f t="shared" si="29"/>
        <v/>
      </c>
    </row>
    <row r="1567" spans="2:2" x14ac:dyDescent="0.2">
      <c r="B1567" s="23" t="str">
        <f t="shared" si="29"/>
        <v/>
      </c>
    </row>
    <row r="1568" spans="2:2" x14ac:dyDescent="0.2">
      <c r="B1568" s="23" t="str">
        <f t="shared" si="29"/>
        <v/>
      </c>
    </row>
    <row r="1569" spans="2:2" x14ac:dyDescent="0.2">
      <c r="B1569" s="23" t="str">
        <f t="shared" si="29"/>
        <v/>
      </c>
    </row>
    <row r="1570" spans="2:2" x14ac:dyDescent="0.2">
      <c r="B1570" s="23" t="str">
        <f t="shared" si="29"/>
        <v/>
      </c>
    </row>
    <row r="1571" spans="2:2" x14ac:dyDescent="0.2">
      <c r="B1571" s="23" t="str">
        <f t="shared" si="29"/>
        <v/>
      </c>
    </row>
    <row r="1572" spans="2:2" x14ac:dyDescent="0.2">
      <c r="B1572" s="23" t="str">
        <f t="shared" si="29"/>
        <v/>
      </c>
    </row>
    <row r="1573" spans="2:2" x14ac:dyDescent="0.2">
      <c r="B1573" s="23" t="str">
        <f t="shared" si="29"/>
        <v/>
      </c>
    </row>
    <row r="1574" spans="2:2" x14ac:dyDescent="0.2">
      <c r="B1574" s="23" t="str">
        <f t="shared" si="29"/>
        <v/>
      </c>
    </row>
    <row r="1575" spans="2:2" x14ac:dyDescent="0.2">
      <c r="B1575" s="23" t="str">
        <f t="shared" si="29"/>
        <v/>
      </c>
    </row>
    <row r="1576" spans="2:2" x14ac:dyDescent="0.2">
      <c r="B1576" s="23" t="str">
        <f t="shared" si="29"/>
        <v/>
      </c>
    </row>
    <row r="1577" spans="2:2" x14ac:dyDescent="0.2">
      <c r="B1577" s="23" t="str">
        <f t="shared" si="29"/>
        <v/>
      </c>
    </row>
    <row r="1578" spans="2:2" x14ac:dyDescent="0.2">
      <c r="B1578" s="23" t="str">
        <f t="shared" si="29"/>
        <v/>
      </c>
    </row>
    <row r="1579" spans="2:2" x14ac:dyDescent="0.2">
      <c r="B1579" s="23" t="str">
        <f t="shared" si="29"/>
        <v/>
      </c>
    </row>
    <row r="1580" spans="2:2" x14ac:dyDescent="0.2">
      <c r="B1580" s="23" t="str">
        <f t="shared" si="29"/>
        <v/>
      </c>
    </row>
    <row r="1581" spans="2:2" x14ac:dyDescent="0.2">
      <c r="B1581" s="23" t="str">
        <f t="shared" si="29"/>
        <v/>
      </c>
    </row>
    <row r="1582" spans="2:2" x14ac:dyDescent="0.2">
      <c r="B1582" s="23" t="str">
        <f t="shared" si="29"/>
        <v/>
      </c>
    </row>
    <row r="1583" spans="2:2" x14ac:dyDescent="0.2">
      <c r="B1583" s="23" t="str">
        <f t="shared" si="29"/>
        <v/>
      </c>
    </row>
    <row r="1584" spans="2:2" x14ac:dyDescent="0.2">
      <c r="B1584" s="23" t="str">
        <f t="shared" si="29"/>
        <v/>
      </c>
    </row>
    <row r="1585" spans="2:2" x14ac:dyDescent="0.2">
      <c r="B1585" s="23" t="str">
        <f t="shared" si="29"/>
        <v/>
      </c>
    </row>
    <row r="1586" spans="2:2" x14ac:dyDescent="0.2">
      <c r="B1586" s="23" t="str">
        <f t="shared" si="29"/>
        <v/>
      </c>
    </row>
    <row r="1587" spans="2:2" x14ac:dyDescent="0.2">
      <c r="B1587" s="23" t="str">
        <f t="shared" si="29"/>
        <v/>
      </c>
    </row>
    <row r="1588" spans="2:2" x14ac:dyDescent="0.2">
      <c r="B1588" s="23" t="str">
        <f t="shared" si="29"/>
        <v/>
      </c>
    </row>
    <row r="1589" spans="2:2" x14ac:dyDescent="0.2">
      <c r="B1589" s="23" t="str">
        <f t="shared" si="29"/>
        <v/>
      </c>
    </row>
    <row r="1590" spans="2:2" x14ac:dyDescent="0.2">
      <c r="B1590" s="23" t="str">
        <f t="shared" si="29"/>
        <v/>
      </c>
    </row>
    <row r="1591" spans="2:2" x14ac:dyDescent="0.2">
      <c r="B1591" s="23" t="str">
        <f t="shared" si="29"/>
        <v/>
      </c>
    </row>
    <row r="1592" spans="2:2" x14ac:dyDescent="0.2">
      <c r="B1592" s="23" t="str">
        <f t="shared" si="29"/>
        <v/>
      </c>
    </row>
    <row r="1593" spans="2:2" x14ac:dyDescent="0.2">
      <c r="B1593" s="23" t="str">
        <f t="shared" si="29"/>
        <v/>
      </c>
    </row>
    <row r="1594" spans="2:2" x14ac:dyDescent="0.2">
      <c r="B1594" s="23" t="str">
        <f t="shared" si="29"/>
        <v/>
      </c>
    </row>
    <row r="1595" spans="2:2" x14ac:dyDescent="0.2">
      <c r="B1595" s="23" t="str">
        <f t="shared" si="29"/>
        <v/>
      </c>
    </row>
    <row r="1596" spans="2:2" x14ac:dyDescent="0.2">
      <c r="B1596" s="23" t="str">
        <f t="shared" si="29"/>
        <v/>
      </c>
    </row>
    <row r="1597" spans="2:2" x14ac:dyDescent="0.2">
      <c r="B1597" s="23" t="str">
        <f t="shared" si="29"/>
        <v/>
      </c>
    </row>
    <row r="1598" spans="2:2" x14ac:dyDescent="0.2">
      <c r="B1598" s="23" t="str">
        <f t="shared" si="29"/>
        <v/>
      </c>
    </row>
    <row r="1599" spans="2:2" x14ac:dyDescent="0.2">
      <c r="B1599" s="23" t="str">
        <f t="shared" si="29"/>
        <v/>
      </c>
    </row>
    <row r="1600" spans="2:2" x14ac:dyDescent="0.2">
      <c r="B1600" s="23" t="str">
        <f t="shared" si="29"/>
        <v/>
      </c>
    </row>
    <row r="1601" spans="2:2" x14ac:dyDescent="0.2">
      <c r="B1601" s="23" t="str">
        <f t="shared" si="29"/>
        <v/>
      </c>
    </row>
    <row r="1602" spans="2:2" x14ac:dyDescent="0.2">
      <c r="B1602" s="23" t="str">
        <f t="shared" si="29"/>
        <v/>
      </c>
    </row>
    <row r="1603" spans="2:2" x14ac:dyDescent="0.2">
      <c r="B1603" s="23" t="str">
        <f t="shared" si="29"/>
        <v/>
      </c>
    </row>
    <row r="1604" spans="2:2" x14ac:dyDescent="0.2">
      <c r="B1604" s="23" t="str">
        <f t="shared" si="29"/>
        <v/>
      </c>
    </row>
    <row r="1605" spans="2:2" x14ac:dyDescent="0.2">
      <c r="B1605" s="23" t="str">
        <f t="shared" ref="B1605:B1668" si="30">IF(OR(A1605="(blank)",A1605=""),"",1)</f>
        <v/>
      </c>
    </row>
    <row r="1606" spans="2:2" x14ac:dyDescent="0.2">
      <c r="B1606" s="23" t="str">
        <f t="shared" si="30"/>
        <v/>
      </c>
    </row>
    <row r="1607" spans="2:2" x14ac:dyDescent="0.2">
      <c r="B1607" s="23" t="str">
        <f t="shared" si="30"/>
        <v/>
      </c>
    </row>
    <row r="1608" spans="2:2" x14ac:dyDescent="0.2">
      <c r="B1608" s="23" t="str">
        <f t="shared" si="30"/>
        <v/>
      </c>
    </row>
    <row r="1609" spans="2:2" x14ac:dyDescent="0.2">
      <c r="B1609" s="23" t="str">
        <f t="shared" si="30"/>
        <v/>
      </c>
    </row>
    <row r="1610" spans="2:2" x14ac:dyDescent="0.2">
      <c r="B1610" s="23" t="str">
        <f t="shared" si="30"/>
        <v/>
      </c>
    </row>
    <row r="1611" spans="2:2" x14ac:dyDescent="0.2">
      <c r="B1611" s="23" t="str">
        <f t="shared" si="30"/>
        <v/>
      </c>
    </row>
    <row r="1612" spans="2:2" x14ac:dyDescent="0.2">
      <c r="B1612" s="23" t="str">
        <f t="shared" si="30"/>
        <v/>
      </c>
    </row>
    <row r="1613" spans="2:2" x14ac:dyDescent="0.2">
      <c r="B1613" s="23" t="str">
        <f t="shared" si="30"/>
        <v/>
      </c>
    </row>
    <row r="1614" spans="2:2" x14ac:dyDescent="0.2">
      <c r="B1614" s="23" t="str">
        <f t="shared" si="30"/>
        <v/>
      </c>
    </row>
    <row r="1615" spans="2:2" x14ac:dyDescent="0.2">
      <c r="B1615" s="23" t="str">
        <f t="shared" si="30"/>
        <v/>
      </c>
    </row>
    <row r="1616" spans="2:2" x14ac:dyDescent="0.2">
      <c r="B1616" s="23" t="str">
        <f t="shared" si="30"/>
        <v/>
      </c>
    </row>
    <row r="1617" spans="2:2" x14ac:dyDescent="0.2">
      <c r="B1617" s="23" t="str">
        <f t="shared" si="30"/>
        <v/>
      </c>
    </row>
    <row r="1618" spans="2:2" x14ac:dyDescent="0.2">
      <c r="B1618" s="23" t="str">
        <f t="shared" si="30"/>
        <v/>
      </c>
    </row>
    <row r="1619" spans="2:2" x14ac:dyDescent="0.2">
      <c r="B1619" s="23" t="str">
        <f t="shared" si="30"/>
        <v/>
      </c>
    </row>
    <row r="1620" spans="2:2" x14ac:dyDescent="0.2">
      <c r="B1620" s="23" t="str">
        <f t="shared" si="30"/>
        <v/>
      </c>
    </row>
    <row r="1621" spans="2:2" x14ac:dyDescent="0.2">
      <c r="B1621" s="23" t="str">
        <f t="shared" si="30"/>
        <v/>
      </c>
    </row>
    <row r="1622" spans="2:2" x14ac:dyDescent="0.2">
      <c r="B1622" s="23" t="str">
        <f t="shared" si="30"/>
        <v/>
      </c>
    </row>
    <row r="1623" spans="2:2" x14ac:dyDescent="0.2">
      <c r="B1623" s="23" t="str">
        <f t="shared" si="30"/>
        <v/>
      </c>
    </row>
    <row r="1624" spans="2:2" x14ac:dyDescent="0.2">
      <c r="B1624" s="23" t="str">
        <f t="shared" si="30"/>
        <v/>
      </c>
    </row>
    <row r="1625" spans="2:2" x14ac:dyDescent="0.2">
      <c r="B1625" s="23" t="str">
        <f t="shared" si="30"/>
        <v/>
      </c>
    </row>
    <row r="1626" spans="2:2" x14ac:dyDescent="0.2">
      <c r="B1626" s="23" t="str">
        <f t="shared" si="30"/>
        <v/>
      </c>
    </row>
    <row r="1627" spans="2:2" x14ac:dyDescent="0.2">
      <c r="B1627" s="23" t="str">
        <f t="shared" si="30"/>
        <v/>
      </c>
    </row>
    <row r="1628" spans="2:2" x14ac:dyDescent="0.2">
      <c r="B1628" s="23" t="str">
        <f t="shared" si="30"/>
        <v/>
      </c>
    </row>
    <row r="1629" spans="2:2" x14ac:dyDescent="0.2">
      <c r="B1629" s="23" t="str">
        <f t="shared" si="30"/>
        <v/>
      </c>
    </row>
    <row r="1630" spans="2:2" x14ac:dyDescent="0.2">
      <c r="B1630" s="23" t="str">
        <f t="shared" si="30"/>
        <v/>
      </c>
    </row>
    <row r="1631" spans="2:2" x14ac:dyDescent="0.2">
      <c r="B1631" s="23" t="str">
        <f t="shared" si="30"/>
        <v/>
      </c>
    </row>
    <row r="1632" spans="2:2" x14ac:dyDescent="0.2">
      <c r="B1632" s="23" t="str">
        <f t="shared" si="30"/>
        <v/>
      </c>
    </row>
    <row r="1633" spans="2:2" x14ac:dyDescent="0.2">
      <c r="B1633" s="23" t="str">
        <f t="shared" si="30"/>
        <v/>
      </c>
    </row>
    <row r="1634" spans="2:2" x14ac:dyDescent="0.2">
      <c r="B1634" s="23" t="str">
        <f t="shared" si="30"/>
        <v/>
      </c>
    </row>
    <row r="1635" spans="2:2" x14ac:dyDescent="0.2">
      <c r="B1635" s="23" t="str">
        <f t="shared" si="30"/>
        <v/>
      </c>
    </row>
    <row r="1636" spans="2:2" x14ac:dyDescent="0.2">
      <c r="B1636" s="23" t="str">
        <f t="shared" si="30"/>
        <v/>
      </c>
    </row>
    <row r="1637" spans="2:2" x14ac:dyDescent="0.2">
      <c r="B1637" s="23" t="str">
        <f t="shared" si="30"/>
        <v/>
      </c>
    </row>
    <row r="1638" spans="2:2" x14ac:dyDescent="0.2">
      <c r="B1638" s="23" t="str">
        <f t="shared" si="30"/>
        <v/>
      </c>
    </row>
    <row r="1639" spans="2:2" x14ac:dyDescent="0.2">
      <c r="B1639" s="23" t="str">
        <f t="shared" si="30"/>
        <v/>
      </c>
    </row>
    <row r="1640" spans="2:2" x14ac:dyDescent="0.2">
      <c r="B1640" s="23" t="str">
        <f t="shared" si="30"/>
        <v/>
      </c>
    </row>
    <row r="1641" spans="2:2" x14ac:dyDescent="0.2">
      <c r="B1641" s="23" t="str">
        <f t="shared" si="30"/>
        <v/>
      </c>
    </row>
    <row r="1642" spans="2:2" x14ac:dyDescent="0.2">
      <c r="B1642" s="23" t="str">
        <f t="shared" si="30"/>
        <v/>
      </c>
    </row>
    <row r="1643" spans="2:2" x14ac:dyDescent="0.2">
      <c r="B1643" s="23" t="str">
        <f t="shared" si="30"/>
        <v/>
      </c>
    </row>
    <row r="1644" spans="2:2" x14ac:dyDescent="0.2">
      <c r="B1644" s="23" t="str">
        <f t="shared" si="30"/>
        <v/>
      </c>
    </row>
    <row r="1645" spans="2:2" x14ac:dyDescent="0.2">
      <c r="B1645" s="23" t="str">
        <f t="shared" si="30"/>
        <v/>
      </c>
    </row>
    <row r="1646" spans="2:2" x14ac:dyDescent="0.2">
      <c r="B1646" s="23" t="str">
        <f t="shared" si="30"/>
        <v/>
      </c>
    </row>
    <row r="1647" spans="2:2" x14ac:dyDescent="0.2">
      <c r="B1647" s="23" t="str">
        <f t="shared" si="30"/>
        <v/>
      </c>
    </row>
    <row r="1648" spans="2:2" x14ac:dyDescent="0.2">
      <c r="B1648" s="23" t="str">
        <f t="shared" si="30"/>
        <v/>
      </c>
    </row>
    <row r="1649" spans="2:2" x14ac:dyDescent="0.2">
      <c r="B1649" s="23" t="str">
        <f t="shared" si="30"/>
        <v/>
      </c>
    </row>
    <row r="1650" spans="2:2" x14ac:dyDescent="0.2">
      <c r="B1650" s="23" t="str">
        <f t="shared" si="30"/>
        <v/>
      </c>
    </row>
    <row r="1651" spans="2:2" x14ac:dyDescent="0.2">
      <c r="B1651" s="23" t="str">
        <f t="shared" si="30"/>
        <v/>
      </c>
    </row>
    <row r="1652" spans="2:2" x14ac:dyDescent="0.2">
      <c r="B1652" s="23" t="str">
        <f t="shared" si="30"/>
        <v/>
      </c>
    </row>
    <row r="1653" spans="2:2" x14ac:dyDescent="0.2">
      <c r="B1653" s="23" t="str">
        <f t="shared" si="30"/>
        <v/>
      </c>
    </row>
    <row r="1654" spans="2:2" x14ac:dyDescent="0.2">
      <c r="B1654" s="23" t="str">
        <f t="shared" si="30"/>
        <v/>
      </c>
    </row>
    <row r="1655" spans="2:2" x14ac:dyDescent="0.2">
      <c r="B1655" s="23" t="str">
        <f t="shared" si="30"/>
        <v/>
      </c>
    </row>
    <row r="1656" spans="2:2" x14ac:dyDescent="0.2">
      <c r="B1656" s="23" t="str">
        <f t="shared" si="30"/>
        <v/>
      </c>
    </row>
    <row r="1657" spans="2:2" x14ac:dyDescent="0.2">
      <c r="B1657" s="23" t="str">
        <f t="shared" si="30"/>
        <v/>
      </c>
    </row>
    <row r="1658" spans="2:2" x14ac:dyDescent="0.2">
      <c r="B1658" s="23" t="str">
        <f t="shared" si="30"/>
        <v/>
      </c>
    </row>
    <row r="1659" spans="2:2" x14ac:dyDescent="0.2">
      <c r="B1659" s="23" t="str">
        <f t="shared" si="30"/>
        <v/>
      </c>
    </row>
    <row r="1660" spans="2:2" x14ac:dyDescent="0.2">
      <c r="B1660" s="23" t="str">
        <f t="shared" si="30"/>
        <v/>
      </c>
    </row>
    <row r="1661" spans="2:2" x14ac:dyDescent="0.2">
      <c r="B1661" s="23" t="str">
        <f t="shared" si="30"/>
        <v/>
      </c>
    </row>
    <row r="1662" spans="2:2" x14ac:dyDescent="0.2">
      <c r="B1662" s="23" t="str">
        <f t="shared" si="30"/>
        <v/>
      </c>
    </row>
    <row r="1663" spans="2:2" x14ac:dyDescent="0.2">
      <c r="B1663" s="23" t="str">
        <f t="shared" si="30"/>
        <v/>
      </c>
    </row>
    <row r="1664" spans="2:2" x14ac:dyDescent="0.2">
      <c r="B1664" s="23" t="str">
        <f t="shared" si="30"/>
        <v/>
      </c>
    </row>
    <row r="1665" spans="2:2" x14ac:dyDescent="0.2">
      <c r="B1665" s="23" t="str">
        <f t="shared" si="30"/>
        <v/>
      </c>
    </row>
    <row r="1666" spans="2:2" x14ac:dyDescent="0.2">
      <c r="B1666" s="23" t="str">
        <f t="shared" si="30"/>
        <v/>
      </c>
    </row>
    <row r="1667" spans="2:2" x14ac:dyDescent="0.2">
      <c r="B1667" s="23" t="str">
        <f t="shared" si="30"/>
        <v/>
      </c>
    </row>
    <row r="1668" spans="2:2" x14ac:dyDescent="0.2">
      <c r="B1668" s="23" t="str">
        <f t="shared" si="30"/>
        <v/>
      </c>
    </row>
    <row r="1669" spans="2:2" x14ac:dyDescent="0.2">
      <c r="B1669" s="23" t="str">
        <f t="shared" ref="B1669:B1732" si="31">IF(OR(A1669="(blank)",A1669=""),"",1)</f>
        <v/>
      </c>
    </row>
    <row r="1670" spans="2:2" x14ac:dyDescent="0.2">
      <c r="B1670" s="23" t="str">
        <f t="shared" si="31"/>
        <v/>
      </c>
    </row>
    <row r="1671" spans="2:2" x14ac:dyDescent="0.2">
      <c r="B1671" s="23" t="str">
        <f t="shared" si="31"/>
        <v/>
      </c>
    </row>
    <row r="1672" spans="2:2" x14ac:dyDescent="0.2">
      <c r="B1672" s="23" t="str">
        <f t="shared" si="31"/>
        <v/>
      </c>
    </row>
    <row r="1673" spans="2:2" x14ac:dyDescent="0.2">
      <c r="B1673" s="23" t="str">
        <f t="shared" si="31"/>
        <v/>
      </c>
    </row>
    <row r="1674" spans="2:2" x14ac:dyDescent="0.2">
      <c r="B1674" s="23" t="str">
        <f t="shared" si="31"/>
        <v/>
      </c>
    </row>
    <row r="1675" spans="2:2" x14ac:dyDescent="0.2">
      <c r="B1675" s="23" t="str">
        <f t="shared" si="31"/>
        <v/>
      </c>
    </row>
    <row r="1676" spans="2:2" x14ac:dyDescent="0.2">
      <c r="B1676" s="23" t="str">
        <f t="shared" si="31"/>
        <v/>
      </c>
    </row>
    <row r="1677" spans="2:2" x14ac:dyDescent="0.2">
      <c r="B1677" s="23" t="str">
        <f t="shared" si="31"/>
        <v/>
      </c>
    </row>
    <row r="1678" spans="2:2" x14ac:dyDescent="0.2">
      <c r="B1678" s="23" t="str">
        <f t="shared" si="31"/>
        <v/>
      </c>
    </row>
    <row r="1679" spans="2:2" x14ac:dyDescent="0.2">
      <c r="B1679" s="23" t="str">
        <f t="shared" si="31"/>
        <v/>
      </c>
    </row>
    <row r="1680" spans="2:2" x14ac:dyDescent="0.2">
      <c r="B1680" s="23" t="str">
        <f t="shared" si="31"/>
        <v/>
      </c>
    </row>
    <row r="1681" spans="2:2" x14ac:dyDescent="0.2">
      <c r="B1681" s="23" t="str">
        <f t="shared" si="31"/>
        <v/>
      </c>
    </row>
    <row r="1682" spans="2:2" x14ac:dyDescent="0.2">
      <c r="B1682" s="23" t="str">
        <f t="shared" si="31"/>
        <v/>
      </c>
    </row>
    <row r="1683" spans="2:2" x14ac:dyDescent="0.2">
      <c r="B1683" s="23" t="str">
        <f t="shared" si="31"/>
        <v/>
      </c>
    </row>
    <row r="1684" spans="2:2" x14ac:dyDescent="0.2">
      <c r="B1684" s="23" t="str">
        <f t="shared" si="31"/>
        <v/>
      </c>
    </row>
    <row r="1685" spans="2:2" x14ac:dyDescent="0.2">
      <c r="B1685" s="23" t="str">
        <f t="shared" si="31"/>
        <v/>
      </c>
    </row>
    <row r="1686" spans="2:2" x14ac:dyDescent="0.2">
      <c r="B1686" s="23" t="str">
        <f t="shared" si="31"/>
        <v/>
      </c>
    </row>
    <row r="1687" spans="2:2" x14ac:dyDescent="0.2">
      <c r="B1687" s="23" t="str">
        <f t="shared" si="31"/>
        <v/>
      </c>
    </row>
    <row r="1688" spans="2:2" x14ac:dyDescent="0.2">
      <c r="B1688" s="23" t="str">
        <f t="shared" si="31"/>
        <v/>
      </c>
    </row>
    <row r="1689" spans="2:2" x14ac:dyDescent="0.2">
      <c r="B1689" s="23" t="str">
        <f t="shared" si="31"/>
        <v/>
      </c>
    </row>
    <row r="1690" spans="2:2" x14ac:dyDescent="0.2">
      <c r="B1690" s="23" t="str">
        <f t="shared" si="31"/>
        <v/>
      </c>
    </row>
    <row r="1691" spans="2:2" x14ac:dyDescent="0.2">
      <c r="B1691" s="23" t="str">
        <f t="shared" si="31"/>
        <v/>
      </c>
    </row>
    <row r="1692" spans="2:2" x14ac:dyDescent="0.2">
      <c r="B1692" s="23" t="str">
        <f t="shared" si="31"/>
        <v/>
      </c>
    </row>
    <row r="1693" spans="2:2" x14ac:dyDescent="0.2">
      <c r="B1693" s="23" t="str">
        <f t="shared" si="31"/>
        <v/>
      </c>
    </row>
    <row r="1694" spans="2:2" x14ac:dyDescent="0.2">
      <c r="B1694" s="23" t="str">
        <f t="shared" si="31"/>
        <v/>
      </c>
    </row>
    <row r="1695" spans="2:2" x14ac:dyDescent="0.2">
      <c r="B1695" s="23" t="str">
        <f t="shared" si="31"/>
        <v/>
      </c>
    </row>
    <row r="1696" spans="2:2" x14ac:dyDescent="0.2">
      <c r="B1696" s="23" t="str">
        <f t="shared" si="31"/>
        <v/>
      </c>
    </row>
    <row r="1697" spans="2:2" x14ac:dyDescent="0.2">
      <c r="B1697" s="23" t="str">
        <f t="shared" si="31"/>
        <v/>
      </c>
    </row>
    <row r="1698" spans="2:2" x14ac:dyDescent="0.2">
      <c r="B1698" s="23" t="str">
        <f t="shared" si="31"/>
        <v/>
      </c>
    </row>
    <row r="1699" spans="2:2" x14ac:dyDescent="0.2">
      <c r="B1699" s="23" t="str">
        <f t="shared" si="31"/>
        <v/>
      </c>
    </row>
    <row r="1700" spans="2:2" x14ac:dyDescent="0.2">
      <c r="B1700" s="23" t="str">
        <f t="shared" si="31"/>
        <v/>
      </c>
    </row>
    <row r="1701" spans="2:2" x14ac:dyDescent="0.2">
      <c r="B1701" s="23" t="str">
        <f t="shared" si="31"/>
        <v/>
      </c>
    </row>
    <row r="1702" spans="2:2" x14ac:dyDescent="0.2">
      <c r="B1702" s="23" t="str">
        <f t="shared" si="31"/>
        <v/>
      </c>
    </row>
    <row r="1703" spans="2:2" x14ac:dyDescent="0.2">
      <c r="B1703" s="23" t="str">
        <f t="shared" si="31"/>
        <v/>
      </c>
    </row>
    <row r="1704" spans="2:2" x14ac:dyDescent="0.2">
      <c r="B1704" s="23" t="str">
        <f t="shared" si="31"/>
        <v/>
      </c>
    </row>
    <row r="1705" spans="2:2" x14ac:dyDescent="0.2">
      <c r="B1705" s="23" t="str">
        <f t="shared" si="31"/>
        <v/>
      </c>
    </row>
    <row r="1706" spans="2:2" x14ac:dyDescent="0.2">
      <c r="B1706" s="23" t="str">
        <f t="shared" si="31"/>
        <v/>
      </c>
    </row>
    <row r="1707" spans="2:2" x14ac:dyDescent="0.2">
      <c r="B1707" s="23" t="str">
        <f t="shared" si="31"/>
        <v/>
      </c>
    </row>
    <row r="1708" spans="2:2" x14ac:dyDescent="0.2">
      <c r="B1708" s="23" t="str">
        <f t="shared" si="31"/>
        <v/>
      </c>
    </row>
    <row r="1709" spans="2:2" x14ac:dyDescent="0.2">
      <c r="B1709" s="23" t="str">
        <f t="shared" si="31"/>
        <v/>
      </c>
    </row>
    <row r="1710" spans="2:2" x14ac:dyDescent="0.2">
      <c r="B1710" s="23" t="str">
        <f t="shared" si="31"/>
        <v/>
      </c>
    </row>
    <row r="1711" spans="2:2" x14ac:dyDescent="0.2">
      <c r="B1711" s="23" t="str">
        <f t="shared" si="31"/>
        <v/>
      </c>
    </row>
    <row r="1712" spans="2:2" x14ac:dyDescent="0.2">
      <c r="B1712" s="23" t="str">
        <f t="shared" si="31"/>
        <v/>
      </c>
    </row>
    <row r="1713" spans="2:2" x14ac:dyDescent="0.2">
      <c r="B1713" s="23" t="str">
        <f t="shared" si="31"/>
        <v/>
      </c>
    </row>
    <row r="1714" spans="2:2" x14ac:dyDescent="0.2">
      <c r="B1714" s="23" t="str">
        <f t="shared" si="31"/>
        <v/>
      </c>
    </row>
    <row r="1715" spans="2:2" x14ac:dyDescent="0.2">
      <c r="B1715" s="23" t="str">
        <f t="shared" si="31"/>
        <v/>
      </c>
    </row>
    <row r="1716" spans="2:2" x14ac:dyDescent="0.2">
      <c r="B1716" s="23" t="str">
        <f t="shared" si="31"/>
        <v/>
      </c>
    </row>
    <row r="1717" spans="2:2" x14ac:dyDescent="0.2">
      <c r="B1717" s="23" t="str">
        <f t="shared" si="31"/>
        <v/>
      </c>
    </row>
    <row r="1718" spans="2:2" x14ac:dyDescent="0.2">
      <c r="B1718" s="23" t="str">
        <f t="shared" si="31"/>
        <v/>
      </c>
    </row>
    <row r="1719" spans="2:2" x14ac:dyDescent="0.2">
      <c r="B1719" s="23" t="str">
        <f t="shared" si="31"/>
        <v/>
      </c>
    </row>
    <row r="1720" spans="2:2" x14ac:dyDescent="0.2">
      <c r="B1720" s="23" t="str">
        <f t="shared" si="31"/>
        <v/>
      </c>
    </row>
    <row r="1721" spans="2:2" x14ac:dyDescent="0.2">
      <c r="B1721" s="23" t="str">
        <f t="shared" si="31"/>
        <v/>
      </c>
    </row>
    <row r="1722" spans="2:2" x14ac:dyDescent="0.2">
      <c r="B1722" s="23" t="str">
        <f t="shared" si="31"/>
        <v/>
      </c>
    </row>
    <row r="1723" spans="2:2" x14ac:dyDescent="0.2">
      <c r="B1723" s="23" t="str">
        <f t="shared" si="31"/>
        <v/>
      </c>
    </row>
    <row r="1724" spans="2:2" x14ac:dyDescent="0.2">
      <c r="B1724" s="23" t="str">
        <f t="shared" si="31"/>
        <v/>
      </c>
    </row>
    <row r="1725" spans="2:2" x14ac:dyDescent="0.2">
      <c r="B1725" s="23" t="str">
        <f t="shared" si="31"/>
        <v/>
      </c>
    </row>
    <row r="1726" spans="2:2" x14ac:dyDescent="0.2">
      <c r="B1726" s="23" t="str">
        <f t="shared" si="31"/>
        <v/>
      </c>
    </row>
    <row r="1727" spans="2:2" x14ac:dyDescent="0.2">
      <c r="B1727" s="23" t="str">
        <f t="shared" si="31"/>
        <v/>
      </c>
    </row>
    <row r="1728" spans="2:2" x14ac:dyDescent="0.2">
      <c r="B1728" s="23" t="str">
        <f t="shared" si="31"/>
        <v/>
      </c>
    </row>
    <row r="1729" spans="2:2" x14ac:dyDescent="0.2">
      <c r="B1729" s="23" t="str">
        <f t="shared" si="31"/>
        <v/>
      </c>
    </row>
    <row r="1730" spans="2:2" x14ac:dyDescent="0.2">
      <c r="B1730" s="23" t="str">
        <f t="shared" si="31"/>
        <v/>
      </c>
    </row>
    <row r="1731" spans="2:2" x14ac:dyDescent="0.2">
      <c r="B1731" s="23" t="str">
        <f t="shared" si="31"/>
        <v/>
      </c>
    </row>
    <row r="1732" spans="2:2" x14ac:dyDescent="0.2">
      <c r="B1732" s="23" t="str">
        <f t="shared" si="31"/>
        <v/>
      </c>
    </row>
    <row r="1733" spans="2:2" x14ac:dyDescent="0.2">
      <c r="B1733" s="23" t="str">
        <f t="shared" ref="B1733:B1796" si="32">IF(OR(A1733="(blank)",A1733=""),"",1)</f>
        <v/>
      </c>
    </row>
    <row r="1734" spans="2:2" x14ac:dyDescent="0.2">
      <c r="B1734" s="23" t="str">
        <f t="shared" si="32"/>
        <v/>
      </c>
    </row>
    <row r="1735" spans="2:2" x14ac:dyDescent="0.2">
      <c r="B1735" s="23" t="str">
        <f t="shared" si="32"/>
        <v/>
      </c>
    </row>
    <row r="1736" spans="2:2" x14ac:dyDescent="0.2">
      <c r="B1736" s="23" t="str">
        <f t="shared" si="32"/>
        <v/>
      </c>
    </row>
    <row r="1737" spans="2:2" x14ac:dyDescent="0.2">
      <c r="B1737" s="23" t="str">
        <f t="shared" si="32"/>
        <v/>
      </c>
    </row>
    <row r="1738" spans="2:2" x14ac:dyDescent="0.2">
      <c r="B1738" s="23" t="str">
        <f t="shared" si="32"/>
        <v/>
      </c>
    </row>
    <row r="1739" spans="2:2" x14ac:dyDescent="0.2">
      <c r="B1739" s="23" t="str">
        <f t="shared" si="32"/>
        <v/>
      </c>
    </row>
    <row r="1740" spans="2:2" x14ac:dyDescent="0.2">
      <c r="B1740" s="23" t="str">
        <f t="shared" si="32"/>
        <v/>
      </c>
    </row>
    <row r="1741" spans="2:2" x14ac:dyDescent="0.2">
      <c r="B1741" s="23" t="str">
        <f t="shared" si="32"/>
        <v/>
      </c>
    </row>
    <row r="1742" spans="2:2" x14ac:dyDescent="0.2">
      <c r="B1742" s="23" t="str">
        <f t="shared" si="32"/>
        <v/>
      </c>
    </row>
    <row r="1743" spans="2:2" x14ac:dyDescent="0.2">
      <c r="B1743" s="23" t="str">
        <f t="shared" si="32"/>
        <v/>
      </c>
    </row>
    <row r="1744" spans="2:2" x14ac:dyDescent="0.2">
      <c r="B1744" s="23" t="str">
        <f t="shared" si="32"/>
        <v/>
      </c>
    </row>
    <row r="1745" spans="2:2" x14ac:dyDescent="0.2">
      <c r="B1745" s="23" t="str">
        <f t="shared" si="32"/>
        <v/>
      </c>
    </row>
    <row r="1746" spans="2:2" x14ac:dyDescent="0.2">
      <c r="B1746" s="23" t="str">
        <f t="shared" si="32"/>
        <v/>
      </c>
    </row>
    <row r="1747" spans="2:2" x14ac:dyDescent="0.2">
      <c r="B1747" s="23" t="str">
        <f t="shared" si="32"/>
        <v/>
      </c>
    </row>
    <row r="1748" spans="2:2" x14ac:dyDescent="0.2">
      <c r="B1748" s="23" t="str">
        <f t="shared" si="32"/>
        <v/>
      </c>
    </row>
    <row r="1749" spans="2:2" x14ac:dyDescent="0.2">
      <c r="B1749" s="23" t="str">
        <f t="shared" si="32"/>
        <v/>
      </c>
    </row>
    <row r="1750" spans="2:2" x14ac:dyDescent="0.2">
      <c r="B1750" s="23" t="str">
        <f t="shared" si="32"/>
        <v/>
      </c>
    </row>
    <row r="1751" spans="2:2" x14ac:dyDescent="0.2">
      <c r="B1751" s="23" t="str">
        <f t="shared" si="32"/>
        <v/>
      </c>
    </row>
    <row r="1752" spans="2:2" x14ac:dyDescent="0.2">
      <c r="B1752" s="23" t="str">
        <f t="shared" si="32"/>
        <v/>
      </c>
    </row>
    <row r="1753" spans="2:2" x14ac:dyDescent="0.2">
      <c r="B1753" s="23" t="str">
        <f t="shared" si="32"/>
        <v/>
      </c>
    </row>
    <row r="1754" spans="2:2" x14ac:dyDescent="0.2">
      <c r="B1754" s="23" t="str">
        <f t="shared" si="32"/>
        <v/>
      </c>
    </row>
    <row r="1755" spans="2:2" x14ac:dyDescent="0.2">
      <c r="B1755" s="23" t="str">
        <f t="shared" si="32"/>
        <v/>
      </c>
    </row>
    <row r="1756" spans="2:2" x14ac:dyDescent="0.2">
      <c r="B1756" s="23" t="str">
        <f t="shared" si="32"/>
        <v/>
      </c>
    </row>
    <row r="1757" spans="2:2" x14ac:dyDescent="0.2">
      <c r="B1757" s="23" t="str">
        <f t="shared" si="32"/>
        <v/>
      </c>
    </row>
    <row r="1758" spans="2:2" x14ac:dyDescent="0.2">
      <c r="B1758" s="23" t="str">
        <f t="shared" si="32"/>
        <v/>
      </c>
    </row>
    <row r="1759" spans="2:2" x14ac:dyDescent="0.2">
      <c r="B1759" s="23" t="str">
        <f t="shared" si="32"/>
        <v/>
      </c>
    </row>
    <row r="1760" spans="2:2" x14ac:dyDescent="0.2">
      <c r="B1760" s="23" t="str">
        <f t="shared" si="32"/>
        <v/>
      </c>
    </row>
    <row r="1761" spans="2:2" x14ac:dyDescent="0.2">
      <c r="B1761" s="23" t="str">
        <f t="shared" si="32"/>
        <v/>
      </c>
    </row>
    <row r="1762" spans="2:2" x14ac:dyDescent="0.2">
      <c r="B1762" s="23" t="str">
        <f t="shared" si="32"/>
        <v/>
      </c>
    </row>
    <row r="1763" spans="2:2" x14ac:dyDescent="0.2">
      <c r="B1763" s="23" t="str">
        <f t="shared" si="32"/>
        <v/>
      </c>
    </row>
    <row r="1764" spans="2:2" x14ac:dyDescent="0.2">
      <c r="B1764" s="23" t="str">
        <f t="shared" si="32"/>
        <v/>
      </c>
    </row>
    <row r="1765" spans="2:2" x14ac:dyDescent="0.2">
      <c r="B1765" s="23" t="str">
        <f t="shared" si="32"/>
        <v/>
      </c>
    </row>
    <row r="1766" spans="2:2" x14ac:dyDescent="0.2">
      <c r="B1766" s="23" t="str">
        <f t="shared" si="32"/>
        <v/>
      </c>
    </row>
    <row r="1767" spans="2:2" x14ac:dyDescent="0.2">
      <c r="B1767" s="23" t="str">
        <f t="shared" si="32"/>
        <v/>
      </c>
    </row>
    <row r="1768" spans="2:2" x14ac:dyDescent="0.2">
      <c r="B1768" s="23" t="str">
        <f t="shared" si="32"/>
        <v/>
      </c>
    </row>
    <row r="1769" spans="2:2" x14ac:dyDescent="0.2">
      <c r="B1769" s="23" t="str">
        <f t="shared" si="32"/>
        <v/>
      </c>
    </row>
    <row r="1770" spans="2:2" x14ac:dyDescent="0.2">
      <c r="B1770" s="23" t="str">
        <f t="shared" si="32"/>
        <v/>
      </c>
    </row>
    <row r="1771" spans="2:2" x14ac:dyDescent="0.2">
      <c r="B1771" s="23" t="str">
        <f t="shared" si="32"/>
        <v/>
      </c>
    </row>
    <row r="1772" spans="2:2" x14ac:dyDescent="0.2">
      <c r="B1772" s="23" t="str">
        <f t="shared" si="32"/>
        <v/>
      </c>
    </row>
    <row r="1773" spans="2:2" x14ac:dyDescent="0.2">
      <c r="B1773" s="23" t="str">
        <f t="shared" si="32"/>
        <v/>
      </c>
    </row>
    <row r="1774" spans="2:2" x14ac:dyDescent="0.2">
      <c r="B1774" s="23" t="str">
        <f t="shared" si="32"/>
        <v/>
      </c>
    </row>
    <row r="1775" spans="2:2" x14ac:dyDescent="0.2">
      <c r="B1775" s="23" t="str">
        <f t="shared" si="32"/>
        <v/>
      </c>
    </row>
    <row r="1776" spans="2:2" x14ac:dyDescent="0.2">
      <c r="B1776" s="23" t="str">
        <f t="shared" si="32"/>
        <v/>
      </c>
    </row>
    <row r="1777" spans="2:2" x14ac:dyDescent="0.2">
      <c r="B1777" s="23" t="str">
        <f t="shared" si="32"/>
        <v/>
      </c>
    </row>
    <row r="1778" spans="2:2" x14ac:dyDescent="0.2">
      <c r="B1778" s="23" t="str">
        <f t="shared" si="32"/>
        <v/>
      </c>
    </row>
    <row r="1779" spans="2:2" x14ac:dyDescent="0.2">
      <c r="B1779" s="23" t="str">
        <f t="shared" si="32"/>
        <v/>
      </c>
    </row>
    <row r="1780" spans="2:2" x14ac:dyDescent="0.2">
      <c r="B1780" s="23" t="str">
        <f t="shared" si="32"/>
        <v/>
      </c>
    </row>
    <row r="1781" spans="2:2" x14ac:dyDescent="0.2">
      <c r="B1781" s="23" t="str">
        <f t="shared" si="32"/>
        <v/>
      </c>
    </row>
    <row r="1782" spans="2:2" x14ac:dyDescent="0.2">
      <c r="B1782" s="23" t="str">
        <f t="shared" si="32"/>
        <v/>
      </c>
    </row>
    <row r="1783" spans="2:2" x14ac:dyDescent="0.2">
      <c r="B1783" s="23" t="str">
        <f t="shared" si="32"/>
        <v/>
      </c>
    </row>
    <row r="1784" spans="2:2" x14ac:dyDescent="0.2">
      <c r="B1784" s="23" t="str">
        <f t="shared" si="32"/>
        <v/>
      </c>
    </row>
    <row r="1785" spans="2:2" x14ac:dyDescent="0.2">
      <c r="B1785" s="23" t="str">
        <f t="shared" si="32"/>
        <v/>
      </c>
    </row>
    <row r="1786" spans="2:2" x14ac:dyDescent="0.2">
      <c r="B1786" s="23" t="str">
        <f t="shared" si="32"/>
        <v/>
      </c>
    </row>
    <row r="1787" spans="2:2" x14ac:dyDescent="0.2">
      <c r="B1787" s="23" t="str">
        <f t="shared" si="32"/>
        <v/>
      </c>
    </row>
    <row r="1788" spans="2:2" x14ac:dyDescent="0.2">
      <c r="B1788" s="23" t="str">
        <f t="shared" si="32"/>
        <v/>
      </c>
    </row>
    <row r="1789" spans="2:2" x14ac:dyDescent="0.2">
      <c r="B1789" s="23" t="str">
        <f t="shared" si="32"/>
        <v/>
      </c>
    </row>
    <row r="1790" spans="2:2" x14ac:dyDescent="0.2">
      <c r="B1790" s="23" t="str">
        <f t="shared" si="32"/>
        <v/>
      </c>
    </row>
    <row r="1791" spans="2:2" x14ac:dyDescent="0.2">
      <c r="B1791" s="23" t="str">
        <f t="shared" si="32"/>
        <v/>
      </c>
    </row>
    <row r="1792" spans="2:2" x14ac:dyDescent="0.2">
      <c r="B1792" s="23" t="str">
        <f t="shared" si="32"/>
        <v/>
      </c>
    </row>
    <row r="1793" spans="2:2" x14ac:dyDescent="0.2">
      <c r="B1793" s="23" t="str">
        <f t="shared" si="32"/>
        <v/>
      </c>
    </row>
    <row r="1794" spans="2:2" x14ac:dyDescent="0.2">
      <c r="B1794" s="23" t="str">
        <f t="shared" si="32"/>
        <v/>
      </c>
    </row>
    <row r="1795" spans="2:2" x14ac:dyDescent="0.2">
      <c r="B1795" s="23" t="str">
        <f t="shared" si="32"/>
        <v/>
      </c>
    </row>
    <row r="1796" spans="2:2" x14ac:dyDescent="0.2">
      <c r="B1796" s="23" t="str">
        <f t="shared" si="32"/>
        <v/>
      </c>
    </row>
    <row r="1797" spans="2:2" x14ac:dyDescent="0.2">
      <c r="B1797" s="23" t="str">
        <f t="shared" ref="B1797:B1860" si="33">IF(OR(A1797="(blank)",A1797=""),"",1)</f>
        <v/>
      </c>
    </row>
    <row r="1798" spans="2:2" x14ac:dyDescent="0.2">
      <c r="B1798" s="23" t="str">
        <f t="shared" si="33"/>
        <v/>
      </c>
    </row>
    <row r="1799" spans="2:2" x14ac:dyDescent="0.2">
      <c r="B1799" s="23" t="str">
        <f t="shared" si="33"/>
        <v/>
      </c>
    </row>
    <row r="1800" spans="2:2" x14ac:dyDescent="0.2">
      <c r="B1800" s="23" t="str">
        <f t="shared" si="33"/>
        <v/>
      </c>
    </row>
    <row r="1801" spans="2:2" x14ac:dyDescent="0.2">
      <c r="B1801" s="23" t="str">
        <f t="shared" si="33"/>
        <v/>
      </c>
    </row>
    <row r="1802" spans="2:2" x14ac:dyDescent="0.2">
      <c r="B1802" s="23" t="str">
        <f t="shared" si="33"/>
        <v/>
      </c>
    </row>
    <row r="1803" spans="2:2" x14ac:dyDescent="0.2">
      <c r="B1803" s="23" t="str">
        <f t="shared" si="33"/>
        <v/>
      </c>
    </row>
    <row r="1804" spans="2:2" x14ac:dyDescent="0.2">
      <c r="B1804" s="23" t="str">
        <f t="shared" si="33"/>
        <v/>
      </c>
    </row>
    <row r="1805" spans="2:2" x14ac:dyDescent="0.2">
      <c r="B1805" s="23" t="str">
        <f t="shared" si="33"/>
        <v/>
      </c>
    </row>
    <row r="1806" spans="2:2" x14ac:dyDescent="0.2">
      <c r="B1806" s="23" t="str">
        <f t="shared" si="33"/>
        <v/>
      </c>
    </row>
    <row r="1807" spans="2:2" x14ac:dyDescent="0.2">
      <c r="B1807" s="23" t="str">
        <f t="shared" si="33"/>
        <v/>
      </c>
    </row>
    <row r="1808" spans="2:2" x14ac:dyDescent="0.2">
      <c r="B1808" s="23" t="str">
        <f t="shared" si="33"/>
        <v/>
      </c>
    </row>
    <row r="1809" spans="2:2" x14ac:dyDescent="0.2">
      <c r="B1809" s="23" t="str">
        <f t="shared" si="33"/>
        <v/>
      </c>
    </row>
    <row r="1810" spans="2:2" x14ac:dyDescent="0.2">
      <c r="B1810" s="23" t="str">
        <f t="shared" si="33"/>
        <v/>
      </c>
    </row>
    <row r="1811" spans="2:2" x14ac:dyDescent="0.2">
      <c r="B1811" s="23" t="str">
        <f t="shared" si="33"/>
        <v/>
      </c>
    </row>
    <row r="1812" spans="2:2" x14ac:dyDescent="0.2">
      <c r="B1812" s="23" t="str">
        <f t="shared" si="33"/>
        <v/>
      </c>
    </row>
    <row r="1813" spans="2:2" x14ac:dyDescent="0.2">
      <c r="B1813" s="23" t="str">
        <f t="shared" si="33"/>
        <v/>
      </c>
    </row>
    <row r="1814" spans="2:2" x14ac:dyDescent="0.2">
      <c r="B1814" s="23" t="str">
        <f t="shared" si="33"/>
        <v/>
      </c>
    </row>
    <row r="1815" spans="2:2" x14ac:dyDescent="0.2">
      <c r="B1815" s="23" t="str">
        <f t="shared" si="33"/>
        <v/>
      </c>
    </row>
    <row r="1816" spans="2:2" x14ac:dyDescent="0.2">
      <c r="B1816" s="23" t="str">
        <f t="shared" si="33"/>
        <v/>
      </c>
    </row>
    <row r="1817" spans="2:2" x14ac:dyDescent="0.2">
      <c r="B1817" s="23" t="str">
        <f t="shared" si="33"/>
        <v/>
      </c>
    </row>
    <row r="1818" spans="2:2" x14ac:dyDescent="0.2">
      <c r="B1818" s="23" t="str">
        <f t="shared" si="33"/>
        <v/>
      </c>
    </row>
    <row r="1819" spans="2:2" x14ac:dyDescent="0.2">
      <c r="B1819" s="23" t="str">
        <f t="shared" si="33"/>
        <v/>
      </c>
    </row>
    <row r="1820" spans="2:2" x14ac:dyDescent="0.2">
      <c r="B1820" s="23" t="str">
        <f t="shared" si="33"/>
        <v/>
      </c>
    </row>
    <row r="1821" spans="2:2" x14ac:dyDescent="0.2">
      <c r="B1821" s="23" t="str">
        <f t="shared" si="33"/>
        <v/>
      </c>
    </row>
    <row r="1822" spans="2:2" x14ac:dyDescent="0.2">
      <c r="B1822" s="23" t="str">
        <f t="shared" si="33"/>
        <v/>
      </c>
    </row>
    <row r="1823" spans="2:2" x14ac:dyDescent="0.2">
      <c r="B1823" s="23" t="str">
        <f t="shared" si="33"/>
        <v/>
      </c>
    </row>
    <row r="1824" spans="2:2" x14ac:dyDescent="0.2">
      <c r="B1824" s="23" t="str">
        <f t="shared" si="33"/>
        <v/>
      </c>
    </row>
    <row r="1825" spans="2:2" x14ac:dyDescent="0.2">
      <c r="B1825" s="23" t="str">
        <f t="shared" si="33"/>
        <v/>
      </c>
    </row>
    <row r="1826" spans="2:2" x14ac:dyDescent="0.2">
      <c r="B1826" s="23" t="str">
        <f t="shared" si="33"/>
        <v/>
      </c>
    </row>
    <row r="1827" spans="2:2" x14ac:dyDescent="0.2">
      <c r="B1827" s="23" t="str">
        <f t="shared" si="33"/>
        <v/>
      </c>
    </row>
    <row r="1828" spans="2:2" x14ac:dyDescent="0.2">
      <c r="B1828" s="23" t="str">
        <f t="shared" si="33"/>
        <v/>
      </c>
    </row>
    <row r="1829" spans="2:2" x14ac:dyDescent="0.2">
      <c r="B1829" s="23" t="str">
        <f t="shared" si="33"/>
        <v/>
      </c>
    </row>
    <row r="1830" spans="2:2" x14ac:dyDescent="0.2">
      <c r="B1830" s="23" t="str">
        <f t="shared" si="33"/>
        <v/>
      </c>
    </row>
    <row r="1831" spans="2:2" x14ac:dyDescent="0.2">
      <c r="B1831" s="23" t="str">
        <f t="shared" si="33"/>
        <v/>
      </c>
    </row>
    <row r="1832" spans="2:2" x14ac:dyDescent="0.2">
      <c r="B1832" s="23" t="str">
        <f t="shared" si="33"/>
        <v/>
      </c>
    </row>
    <row r="1833" spans="2:2" x14ac:dyDescent="0.2">
      <c r="B1833" s="23" t="str">
        <f t="shared" si="33"/>
        <v/>
      </c>
    </row>
    <row r="1834" spans="2:2" x14ac:dyDescent="0.2">
      <c r="B1834" s="23" t="str">
        <f t="shared" si="33"/>
        <v/>
      </c>
    </row>
    <row r="1835" spans="2:2" x14ac:dyDescent="0.2">
      <c r="B1835" s="23" t="str">
        <f t="shared" si="33"/>
        <v/>
      </c>
    </row>
    <row r="1836" spans="2:2" x14ac:dyDescent="0.2">
      <c r="B1836" s="23" t="str">
        <f t="shared" si="33"/>
        <v/>
      </c>
    </row>
    <row r="1837" spans="2:2" x14ac:dyDescent="0.2">
      <c r="B1837" s="23" t="str">
        <f t="shared" si="33"/>
        <v/>
      </c>
    </row>
    <row r="1838" spans="2:2" x14ac:dyDescent="0.2">
      <c r="B1838" s="23" t="str">
        <f t="shared" si="33"/>
        <v/>
      </c>
    </row>
    <row r="1839" spans="2:2" x14ac:dyDescent="0.2">
      <c r="B1839" s="23" t="str">
        <f t="shared" si="33"/>
        <v/>
      </c>
    </row>
    <row r="1840" spans="2:2" x14ac:dyDescent="0.2">
      <c r="B1840" s="23" t="str">
        <f t="shared" si="33"/>
        <v/>
      </c>
    </row>
    <row r="1841" spans="2:2" x14ac:dyDescent="0.2">
      <c r="B1841" s="23" t="str">
        <f t="shared" si="33"/>
        <v/>
      </c>
    </row>
    <row r="1842" spans="2:2" x14ac:dyDescent="0.2">
      <c r="B1842" s="23" t="str">
        <f t="shared" si="33"/>
        <v/>
      </c>
    </row>
    <row r="1843" spans="2:2" x14ac:dyDescent="0.2">
      <c r="B1843" s="23" t="str">
        <f t="shared" si="33"/>
        <v/>
      </c>
    </row>
    <row r="1844" spans="2:2" x14ac:dyDescent="0.2">
      <c r="B1844" s="23" t="str">
        <f t="shared" si="33"/>
        <v/>
      </c>
    </row>
    <row r="1845" spans="2:2" x14ac:dyDescent="0.2">
      <c r="B1845" s="23" t="str">
        <f t="shared" si="33"/>
        <v/>
      </c>
    </row>
    <row r="1846" spans="2:2" x14ac:dyDescent="0.2">
      <c r="B1846" s="23" t="str">
        <f t="shared" si="33"/>
        <v/>
      </c>
    </row>
    <row r="1847" spans="2:2" x14ac:dyDescent="0.2">
      <c r="B1847" s="23" t="str">
        <f t="shared" si="33"/>
        <v/>
      </c>
    </row>
    <row r="1848" spans="2:2" x14ac:dyDescent="0.2">
      <c r="B1848" s="23" t="str">
        <f t="shared" si="33"/>
        <v/>
      </c>
    </row>
    <row r="1849" spans="2:2" x14ac:dyDescent="0.2">
      <c r="B1849" s="23" t="str">
        <f t="shared" si="33"/>
        <v/>
      </c>
    </row>
    <row r="1850" spans="2:2" x14ac:dyDescent="0.2">
      <c r="B1850" s="23" t="str">
        <f t="shared" si="33"/>
        <v/>
      </c>
    </row>
    <row r="1851" spans="2:2" x14ac:dyDescent="0.2">
      <c r="B1851" s="23" t="str">
        <f t="shared" si="33"/>
        <v/>
      </c>
    </row>
    <row r="1852" spans="2:2" x14ac:dyDescent="0.2">
      <c r="B1852" s="23" t="str">
        <f t="shared" si="33"/>
        <v/>
      </c>
    </row>
    <row r="1853" spans="2:2" x14ac:dyDescent="0.2">
      <c r="B1853" s="23" t="str">
        <f t="shared" si="33"/>
        <v/>
      </c>
    </row>
    <row r="1854" spans="2:2" x14ac:dyDescent="0.2">
      <c r="B1854" s="23" t="str">
        <f t="shared" si="33"/>
        <v/>
      </c>
    </row>
    <row r="1855" spans="2:2" x14ac:dyDescent="0.2">
      <c r="B1855" s="23" t="str">
        <f t="shared" si="33"/>
        <v/>
      </c>
    </row>
    <row r="1856" spans="2:2" x14ac:dyDescent="0.2">
      <c r="B1856" s="23" t="str">
        <f t="shared" si="33"/>
        <v/>
      </c>
    </row>
    <row r="1857" spans="2:2" x14ac:dyDescent="0.2">
      <c r="B1857" s="23" t="str">
        <f t="shared" si="33"/>
        <v/>
      </c>
    </row>
    <row r="1858" spans="2:2" x14ac:dyDescent="0.2">
      <c r="B1858" s="23" t="str">
        <f t="shared" si="33"/>
        <v/>
      </c>
    </row>
    <row r="1859" spans="2:2" x14ac:dyDescent="0.2">
      <c r="B1859" s="23" t="str">
        <f t="shared" si="33"/>
        <v/>
      </c>
    </row>
    <row r="1860" spans="2:2" x14ac:dyDescent="0.2">
      <c r="B1860" s="23" t="str">
        <f t="shared" si="33"/>
        <v/>
      </c>
    </row>
    <row r="1861" spans="2:2" x14ac:dyDescent="0.2">
      <c r="B1861" s="23" t="str">
        <f t="shared" ref="B1861:B1924" si="34">IF(OR(A1861="(blank)",A1861=""),"",1)</f>
        <v/>
      </c>
    </row>
    <row r="1862" spans="2:2" x14ac:dyDescent="0.2">
      <c r="B1862" s="23" t="str">
        <f t="shared" si="34"/>
        <v/>
      </c>
    </row>
    <row r="1863" spans="2:2" x14ac:dyDescent="0.2">
      <c r="B1863" s="23" t="str">
        <f t="shared" si="34"/>
        <v/>
      </c>
    </row>
    <row r="1864" spans="2:2" x14ac:dyDescent="0.2">
      <c r="B1864" s="23" t="str">
        <f t="shared" si="34"/>
        <v/>
      </c>
    </row>
    <row r="1865" spans="2:2" x14ac:dyDescent="0.2">
      <c r="B1865" s="23" t="str">
        <f t="shared" si="34"/>
        <v/>
      </c>
    </row>
    <row r="1866" spans="2:2" x14ac:dyDescent="0.2">
      <c r="B1866" s="23" t="str">
        <f t="shared" si="34"/>
        <v/>
      </c>
    </row>
    <row r="1867" spans="2:2" x14ac:dyDescent="0.2">
      <c r="B1867" s="23" t="str">
        <f t="shared" si="34"/>
        <v/>
      </c>
    </row>
    <row r="1868" spans="2:2" x14ac:dyDescent="0.2">
      <c r="B1868" s="23" t="str">
        <f t="shared" si="34"/>
        <v/>
      </c>
    </row>
    <row r="1869" spans="2:2" x14ac:dyDescent="0.2">
      <c r="B1869" s="23" t="str">
        <f t="shared" si="34"/>
        <v/>
      </c>
    </row>
    <row r="1870" spans="2:2" x14ac:dyDescent="0.2">
      <c r="B1870" s="23" t="str">
        <f t="shared" si="34"/>
        <v/>
      </c>
    </row>
    <row r="1871" spans="2:2" x14ac:dyDescent="0.2">
      <c r="B1871" s="23" t="str">
        <f t="shared" si="34"/>
        <v/>
      </c>
    </row>
    <row r="1872" spans="2:2" x14ac:dyDescent="0.2">
      <c r="B1872" s="23" t="str">
        <f t="shared" si="34"/>
        <v/>
      </c>
    </row>
    <row r="1873" spans="2:2" x14ac:dyDescent="0.2">
      <c r="B1873" s="23" t="str">
        <f t="shared" si="34"/>
        <v/>
      </c>
    </row>
    <row r="1874" spans="2:2" x14ac:dyDescent="0.2">
      <c r="B1874" s="23" t="str">
        <f t="shared" si="34"/>
        <v/>
      </c>
    </row>
    <row r="1875" spans="2:2" x14ac:dyDescent="0.2">
      <c r="B1875" s="23" t="str">
        <f t="shared" si="34"/>
        <v/>
      </c>
    </row>
    <row r="1876" spans="2:2" x14ac:dyDescent="0.2">
      <c r="B1876" s="23" t="str">
        <f t="shared" si="34"/>
        <v/>
      </c>
    </row>
    <row r="1877" spans="2:2" x14ac:dyDescent="0.2">
      <c r="B1877" s="23" t="str">
        <f t="shared" si="34"/>
        <v/>
      </c>
    </row>
    <row r="1878" spans="2:2" x14ac:dyDescent="0.2">
      <c r="B1878" s="23" t="str">
        <f t="shared" si="34"/>
        <v/>
      </c>
    </row>
    <row r="1879" spans="2:2" x14ac:dyDescent="0.2">
      <c r="B1879" s="23" t="str">
        <f t="shared" si="34"/>
        <v/>
      </c>
    </row>
    <row r="1880" spans="2:2" x14ac:dyDescent="0.2">
      <c r="B1880" s="23" t="str">
        <f t="shared" si="34"/>
        <v/>
      </c>
    </row>
    <row r="1881" spans="2:2" x14ac:dyDescent="0.2">
      <c r="B1881" s="23" t="str">
        <f t="shared" si="34"/>
        <v/>
      </c>
    </row>
    <row r="1882" spans="2:2" x14ac:dyDescent="0.2">
      <c r="B1882" s="23" t="str">
        <f t="shared" si="34"/>
        <v/>
      </c>
    </row>
    <row r="1883" spans="2:2" x14ac:dyDescent="0.2">
      <c r="B1883" s="23" t="str">
        <f t="shared" si="34"/>
        <v/>
      </c>
    </row>
    <row r="1884" spans="2:2" x14ac:dyDescent="0.2">
      <c r="B1884" s="23" t="str">
        <f t="shared" si="34"/>
        <v/>
      </c>
    </row>
    <row r="1885" spans="2:2" x14ac:dyDescent="0.2">
      <c r="B1885" s="23" t="str">
        <f t="shared" si="34"/>
        <v/>
      </c>
    </row>
    <row r="1886" spans="2:2" x14ac:dyDescent="0.2">
      <c r="B1886" s="23" t="str">
        <f t="shared" si="34"/>
        <v/>
      </c>
    </row>
    <row r="1887" spans="2:2" x14ac:dyDescent="0.2">
      <c r="B1887" s="23" t="str">
        <f t="shared" si="34"/>
        <v/>
      </c>
    </row>
    <row r="1888" spans="2:2" x14ac:dyDescent="0.2">
      <c r="B1888" s="23" t="str">
        <f t="shared" si="34"/>
        <v/>
      </c>
    </row>
    <row r="1889" spans="2:2" x14ac:dyDescent="0.2">
      <c r="B1889" s="23" t="str">
        <f t="shared" si="34"/>
        <v/>
      </c>
    </row>
    <row r="1890" spans="2:2" x14ac:dyDescent="0.2">
      <c r="B1890" s="23" t="str">
        <f t="shared" si="34"/>
        <v/>
      </c>
    </row>
    <row r="1891" spans="2:2" x14ac:dyDescent="0.2">
      <c r="B1891" s="23" t="str">
        <f t="shared" si="34"/>
        <v/>
      </c>
    </row>
    <row r="1892" spans="2:2" x14ac:dyDescent="0.2">
      <c r="B1892" s="23" t="str">
        <f t="shared" si="34"/>
        <v/>
      </c>
    </row>
    <row r="1893" spans="2:2" x14ac:dyDescent="0.2">
      <c r="B1893" s="23" t="str">
        <f t="shared" si="34"/>
        <v/>
      </c>
    </row>
    <row r="1894" spans="2:2" x14ac:dyDescent="0.2">
      <c r="B1894" s="23" t="str">
        <f t="shared" si="34"/>
        <v/>
      </c>
    </row>
    <row r="1895" spans="2:2" x14ac:dyDescent="0.2">
      <c r="B1895" s="23" t="str">
        <f t="shared" si="34"/>
        <v/>
      </c>
    </row>
    <row r="1896" spans="2:2" x14ac:dyDescent="0.2">
      <c r="B1896" s="23" t="str">
        <f t="shared" si="34"/>
        <v/>
      </c>
    </row>
    <row r="1897" spans="2:2" x14ac:dyDescent="0.2">
      <c r="B1897" s="23" t="str">
        <f t="shared" si="34"/>
        <v/>
      </c>
    </row>
    <row r="1898" spans="2:2" x14ac:dyDescent="0.2">
      <c r="B1898" s="23" t="str">
        <f t="shared" si="34"/>
        <v/>
      </c>
    </row>
    <row r="1899" spans="2:2" x14ac:dyDescent="0.2">
      <c r="B1899" s="23" t="str">
        <f t="shared" si="34"/>
        <v/>
      </c>
    </row>
    <row r="1900" spans="2:2" x14ac:dyDescent="0.2">
      <c r="B1900" s="23" t="str">
        <f t="shared" si="34"/>
        <v/>
      </c>
    </row>
    <row r="1901" spans="2:2" x14ac:dyDescent="0.2">
      <c r="B1901" s="23" t="str">
        <f t="shared" si="34"/>
        <v/>
      </c>
    </row>
    <row r="1902" spans="2:2" x14ac:dyDescent="0.2">
      <c r="B1902" s="23" t="str">
        <f t="shared" si="34"/>
        <v/>
      </c>
    </row>
    <row r="1903" spans="2:2" x14ac:dyDescent="0.2">
      <c r="B1903" s="23" t="str">
        <f t="shared" si="34"/>
        <v/>
      </c>
    </row>
    <row r="1904" spans="2:2" x14ac:dyDescent="0.2">
      <c r="B1904" s="23" t="str">
        <f t="shared" si="34"/>
        <v/>
      </c>
    </row>
    <row r="1905" spans="2:2" x14ac:dyDescent="0.2">
      <c r="B1905" s="23" t="str">
        <f t="shared" si="34"/>
        <v/>
      </c>
    </row>
    <row r="1906" spans="2:2" x14ac:dyDescent="0.2">
      <c r="B1906" s="23" t="str">
        <f t="shared" si="34"/>
        <v/>
      </c>
    </row>
    <row r="1907" spans="2:2" x14ac:dyDescent="0.2">
      <c r="B1907" s="23" t="str">
        <f t="shared" si="34"/>
        <v/>
      </c>
    </row>
    <row r="1908" spans="2:2" x14ac:dyDescent="0.2">
      <c r="B1908" s="23" t="str">
        <f t="shared" si="34"/>
        <v/>
      </c>
    </row>
    <row r="1909" spans="2:2" x14ac:dyDescent="0.2">
      <c r="B1909" s="23" t="str">
        <f t="shared" si="34"/>
        <v/>
      </c>
    </row>
    <row r="1910" spans="2:2" x14ac:dyDescent="0.2">
      <c r="B1910" s="23" t="str">
        <f t="shared" si="34"/>
        <v/>
      </c>
    </row>
    <row r="1911" spans="2:2" x14ac:dyDescent="0.2">
      <c r="B1911" s="23" t="str">
        <f t="shared" si="34"/>
        <v/>
      </c>
    </row>
    <row r="1912" spans="2:2" x14ac:dyDescent="0.2">
      <c r="B1912" s="23" t="str">
        <f t="shared" si="34"/>
        <v/>
      </c>
    </row>
    <row r="1913" spans="2:2" x14ac:dyDescent="0.2">
      <c r="B1913" s="23" t="str">
        <f t="shared" si="34"/>
        <v/>
      </c>
    </row>
    <row r="1914" spans="2:2" x14ac:dyDescent="0.2">
      <c r="B1914" s="23" t="str">
        <f t="shared" si="34"/>
        <v/>
      </c>
    </row>
    <row r="1915" spans="2:2" x14ac:dyDescent="0.2">
      <c r="B1915" s="23" t="str">
        <f t="shared" si="34"/>
        <v/>
      </c>
    </row>
    <row r="1916" spans="2:2" x14ac:dyDescent="0.2">
      <c r="B1916" s="23" t="str">
        <f t="shared" si="34"/>
        <v/>
      </c>
    </row>
    <row r="1917" spans="2:2" x14ac:dyDescent="0.2">
      <c r="B1917" s="23" t="str">
        <f t="shared" si="34"/>
        <v/>
      </c>
    </row>
    <row r="1918" spans="2:2" x14ac:dyDescent="0.2">
      <c r="B1918" s="23" t="str">
        <f t="shared" si="34"/>
        <v/>
      </c>
    </row>
    <row r="1919" spans="2:2" x14ac:dyDescent="0.2">
      <c r="B1919" s="23" t="str">
        <f t="shared" si="34"/>
        <v/>
      </c>
    </row>
    <row r="1920" spans="2:2" x14ac:dyDescent="0.2">
      <c r="B1920" s="23" t="str">
        <f t="shared" si="34"/>
        <v/>
      </c>
    </row>
    <row r="1921" spans="2:2" x14ac:dyDescent="0.2">
      <c r="B1921" s="23" t="str">
        <f t="shared" si="34"/>
        <v/>
      </c>
    </row>
    <row r="1922" spans="2:2" x14ac:dyDescent="0.2">
      <c r="B1922" s="23" t="str">
        <f t="shared" si="34"/>
        <v/>
      </c>
    </row>
    <row r="1923" spans="2:2" x14ac:dyDescent="0.2">
      <c r="B1923" s="23" t="str">
        <f t="shared" si="34"/>
        <v/>
      </c>
    </row>
    <row r="1924" spans="2:2" x14ac:dyDescent="0.2">
      <c r="B1924" s="23" t="str">
        <f t="shared" si="34"/>
        <v/>
      </c>
    </row>
    <row r="1925" spans="2:2" x14ac:dyDescent="0.2">
      <c r="B1925" s="23" t="str">
        <f t="shared" ref="B1925:B1988" si="35">IF(OR(A1925="(blank)",A1925=""),"",1)</f>
        <v/>
      </c>
    </row>
    <row r="1926" spans="2:2" x14ac:dyDescent="0.2">
      <c r="B1926" s="23" t="str">
        <f t="shared" si="35"/>
        <v/>
      </c>
    </row>
    <row r="1927" spans="2:2" x14ac:dyDescent="0.2">
      <c r="B1927" s="23" t="str">
        <f t="shared" si="35"/>
        <v/>
      </c>
    </row>
    <row r="1928" spans="2:2" x14ac:dyDescent="0.2">
      <c r="B1928" s="23" t="str">
        <f t="shared" si="35"/>
        <v/>
      </c>
    </row>
    <row r="1929" spans="2:2" x14ac:dyDescent="0.2">
      <c r="B1929" s="23" t="str">
        <f t="shared" si="35"/>
        <v/>
      </c>
    </row>
    <row r="1930" spans="2:2" x14ac:dyDescent="0.2">
      <c r="B1930" s="23" t="str">
        <f t="shared" si="35"/>
        <v/>
      </c>
    </row>
    <row r="1931" spans="2:2" x14ac:dyDescent="0.2">
      <c r="B1931" s="23" t="str">
        <f t="shared" si="35"/>
        <v/>
      </c>
    </row>
    <row r="1932" spans="2:2" x14ac:dyDescent="0.2">
      <c r="B1932" s="23" t="str">
        <f t="shared" si="35"/>
        <v/>
      </c>
    </row>
    <row r="1933" spans="2:2" x14ac:dyDescent="0.2">
      <c r="B1933" s="23" t="str">
        <f t="shared" si="35"/>
        <v/>
      </c>
    </row>
    <row r="1934" spans="2:2" x14ac:dyDescent="0.2">
      <c r="B1934" s="23" t="str">
        <f t="shared" si="35"/>
        <v/>
      </c>
    </row>
    <row r="1935" spans="2:2" x14ac:dyDescent="0.2">
      <c r="B1935" s="23" t="str">
        <f t="shared" si="35"/>
        <v/>
      </c>
    </row>
    <row r="1936" spans="2:2" x14ac:dyDescent="0.2">
      <c r="B1936" s="23" t="str">
        <f t="shared" si="35"/>
        <v/>
      </c>
    </row>
    <row r="1937" spans="2:2" x14ac:dyDescent="0.2">
      <c r="B1937" s="23" t="str">
        <f t="shared" si="35"/>
        <v/>
      </c>
    </row>
    <row r="1938" spans="2:2" x14ac:dyDescent="0.2">
      <c r="B1938" s="23" t="str">
        <f t="shared" si="35"/>
        <v/>
      </c>
    </row>
    <row r="1939" spans="2:2" x14ac:dyDescent="0.2">
      <c r="B1939" s="23" t="str">
        <f t="shared" si="35"/>
        <v/>
      </c>
    </row>
    <row r="1940" spans="2:2" x14ac:dyDescent="0.2">
      <c r="B1940" s="23" t="str">
        <f t="shared" si="35"/>
        <v/>
      </c>
    </row>
    <row r="1941" spans="2:2" x14ac:dyDescent="0.2">
      <c r="B1941" s="23" t="str">
        <f t="shared" si="35"/>
        <v/>
      </c>
    </row>
    <row r="1942" spans="2:2" x14ac:dyDescent="0.2">
      <c r="B1942" s="23" t="str">
        <f t="shared" si="35"/>
        <v/>
      </c>
    </row>
    <row r="1943" spans="2:2" x14ac:dyDescent="0.2">
      <c r="B1943" s="23" t="str">
        <f t="shared" si="35"/>
        <v/>
      </c>
    </row>
    <row r="1944" spans="2:2" x14ac:dyDescent="0.2">
      <c r="B1944" s="23" t="str">
        <f t="shared" si="35"/>
        <v/>
      </c>
    </row>
    <row r="1945" spans="2:2" x14ac:dyDescent="0.2">
      <c r="B1945" s="23" t="str">
        <f t="shared" si="35"/>
        <v/>
      </c>
    </row>
    <row r="1946" spans="2:2" x14ac:dyDescent="0.2">
      <c r="B1946" s="23" t="str">
        <f t="shared" si="35"/>
        <v/>
      </c>
    </row>
    <row r="1947" spans="2:2" x14ac:dyDescent="0.2">
      <c r="B1947" s="23" t="str">
        <f t="shared" si="35"/>
        <v/>
      </c>
    </row>
    <row r="1948" spans="2:2" x14ac:dyDescent="0.2">
      <c r="B1948" s="23" t="str">
        <f t="shared" si="35"/>
        <v/>
      </c>
    </row>
    <row r="1949" spans="2:2" x14ac:dyDescent="0.2">
      <c r="B1949" s="23" t="str">
        <f t="shared" si="35"/>
        <v/>
      </c>
    </row>
    <row r="1950" spans="2:2" x14ac:dyDescent="0.2">
      <c r="B1950" s="23" t="str">
        <f t="shared" si="35"/>
        <v/>
      </c>
    </row>
    <row r="1951" spans="2:2" x14ac:dyDescent="0.2">
      <c r="B1951" s="23" t="str">
        <f t="shared" si="35"/>
        <v/>
      </c>
    </row>
    <row r="1952" spans="2:2" x14ac:dyDescent="0.2">
      <c r="B1952" s="23" t="str">
        <f t="shared" si="35"/>
        <v/>
      </c>
    </row>
    <row r="1953" spans="2:2" x14ac:dyDescent="0.2">
      <c r="B1953" s="23" t="str">
        <f t="shared" si="35"/>
        <v/>
      </c>
    </row>
    <row r="1954" spans="2:2" x14ac:dyDescent="0.2">
      <c r="B1954" s="23" t="str">
        <f t="shared" si="35"/>
        <v/>
      </c>
    </row>
    <row r="1955" spans="2:2" x14ac:dyDescent="0.2">
      <c r="B1955" s="23" t="str">
        <f t="shared" si="35"/>
        <v/>
      </c>
    </row>
    <row r="1956" spans="2:2" x14ac:dyDescent="0.2">
      <c r="B1956" s="23" t="str">
        <f t="shared" si="35"/>
        <v/>
      </c>
    </row>
    <row r="1957" spans="2:2" x14ac:dyDescent="0.2">
      <c r="B1957" s="23" t="str">
        <f t="shared" si="35"/>
        <v/>
      </c>
    </row>
    <row r="1958" spans="2:2" x14ac:dyDescent="0.2">
      <c r="B1958" s="23" t="str">
        <f t="shared" si="35"/>
        <v/>
      </c>
    </row>
    <row r="1959" spans="2:2" x14ac:dyDescent="0.2">
      <c r="B1959" s="23" t="str">
        <f t="shared" si="35"/>
        <v/>
      </c>
    </row>
    <row r="1960" spans="2:2" x14ac:dyDescent="0.2">
      <c r="B1960" s="23" t="str">
        <f t="shared" si="35"/>
        <v/>
      </c>
    </row>
    <row r="1961" spans="2:2" x14ac:dyDescent="0.2">
      <c r="B1961" s="23" t="str">
        <f t="shared" si="35"/>
        <v/>
      </c>
    </row>
    <row r="1962" spans="2:2" x14ac:dyDescent="0.2">
      <c r="B1962" s="23" t="str">
        <f t="shared" si="35"/>
        <v/>
      </c>
    </row>
    <row r="1963" spans="2:2" x14ac:dyDescent="0.2">
      <c r="B1963" s="23" t="str">
        <f t="shared" si="35"/>
        <v/>
      </c>
    </row>
    <row r="1964" spans="2:2" x14ac:dyDescent="0.2">
      <c r="B1964" s="23" t="str">
        <f t="shared" si="35"/>
        <v/>
      </c>
    </row>
    <row r="1965" spans="2:2" x14ac:dyDescent="0.2">
      <c r="B1965" s="23" t="str">
        <f t="shared" si="35"/>
        <v/>
      </c>
    </row>
    <row r="1966" spans="2:2" x14ac:dyDescent="0.2">
      <c r="B1966" s="23" t="str">
        <f t="shared" si="35"/>
        <v/>
      </c>
    </row>
    <row r="1967" spans="2:2" x14ac:dyDescent="0.2">
      <c r="B1967" s="23" t="str">
        <f t="shared" si="35"/>
        <v/>
      </c>
    </row>
    <row r="1968" spans="2:2" x14ac:dyDescent="0.2">
      <c r="B1968" s="23" t="str">
        <f t="shared" si="35"/>
        <v/>
      </c>
    </row>
    <row r="1969" spans="2:2" x14ac:dyDescent="0.2">
      <c r="B1969" s="23" t="str">
        <f t="shared" si="35"/>
        <v/>
      </c>
    </row>
    <row r="1970" spans="2:2" x14ac:dyDescent="0.2">
      <c r="B1970" s="23" t="str">
        <f t="shared" si="35"/>
        <v/>
      </c>
    </row>
    <row r="1971" spans="2:2" x14ac:dyDescent="0.2">
      <c r="B1971" s="23" t="str">
        <f t="shared" si="35"/>
        <v/>
      </c>
    </row>
    <row r="1972" spans="2:2" x14ac:dyDescent="0.2">
      <c r="B1972" s="23" t="str">
        <f t="shared" si="35"/>
        <v/>
      </c>
    </row>
    <row r="1973" spans="2:2" x14ac:dyDescent="0.2">
      <c r="B1973" s="23" t="str">
        <f t="shared" si="35"/>
        <v/>
      </c>
    </row>
    <row r="1974" spans="2:2" x14ac:dyDescent="0.2">
      <c r="B1974" s="23" t="str">
        <f t="shared" si="35"/>
        <v/>
      </c>
    </row>
    <row r="1975" spans="2:2" x14ac:dyDescent="0.2">
      <c r="B1975" s="23" t="str">
        <f t="shared" si="35"/>
        <v/>
      </c>
    </row>
    <row r="1976" spans="2:2" x14ac:dyDescent="0.2">
      <c r="B1976" s="23" t="str">
        <f t="shared" si="35"/>
        <v/>
      </c>
    </row>
    <row r="1977" spans="2:2" x14ac:dyDescent="0.2">
      <c r="B1977" s="23" t="str">
        <f t="shared" si="35"/>
        <v/>
      </c>
    </row>
    <row r="1978" spans="2:2" x14ac:dyDescent="0.2">
      <c r="B1978" s="23" t="str">
        <f t="shared" si="35"/>
        <v/>
      </c>
    </row>
    <row r="1979" spans="2:2" x14ac:dyDescent="0.2">
      <c r="B1979" s="23" t="str">
        <f t="shared" si="35"/>
        <v/>
      </c>
    </row>
    <row r="1980" spans="2:2" x14ac:dyDescent="0.2">
      <c r="B1980" s="23" t="str">
        <f t="shared" si="35"/>
        <v/>
      </c>
    </row>
    <row r="1981" spans="2:2" x14ac:dyDescent="0.2">
      <c r="B1981" s="23" t="str">
        <f t="shared" si="35"/>
        <v/>
      </c>
    </row>
    <row r="1982" spans="2:2" x14ac:dyDescent="0.2">
      <c r="B1982" s="23" t="str">
        <f t="shared" si="35"/>
        <v/>
      </c>
    </row>
    <row r="1983" spans="2:2" x14ac:dyDescent="0.2">
      <c r="B1983" s="23" t="str">
        <f t="shared" si="35"/>
        <v/>
      </c>
    </row>
    <row r="1984" spans="2:2" x14ac:dyDescent="0.2">
      <c r="B1984" s="23" t="str">
        <f t="shared" si="35"/>
        <v/>
      </c>
    </row>
    <row r="1985" spans="2:2" x14ac:dyDescent="0.2">
      <c r="B1985" s="23" t="str">
        <f t="shared" si="35"/>
        <v/>
      </c>
    </row>
    <row r="1986" spans="2:2" x14ac:dyDescent="0.2">
      <c r="B1986" s="23" t="str">
        <f t="shared" si="35"/>
        <v/>
      </c>
    </row>
    <row r="1987" spans="2:2" x14ac:dyDescent="0.2">
      <c r="B1987" s="23" t="str">
        <f t="shared" si="35"/>
        <v/>
      </c>
    </row>
    <row r="1988" spans="2:2" x14ac:dyDescent="0.2">
      <c r="B1988" s="23" t="str">
        <f t="shared" si="35"/>
        <v/>
      </c>
    </row>
    <row r="1989" spans="2:2" x14ac:dyDescent="0.2">
      <c r="B1989" s="23" t="str">
        <f t="shared" ref="B1989:B2030" si="36">IF(OR(A1989="(blank)",A1989=""),"",1)</f>
        <v/>
      </c>
    </row>
    <row r="1990" spans="2:2" x14ac:dyDescent="0.2">
      <c r="B1990" s="23" t="str">
        <f t="shared" si="36"/>
        <v/>
      </c>
    </row>
    <row r="1991" spans="2:2" x14ac:dyDescent="0.2">
      <c r="B1991" s="23" t="str">
        <f t="shared" si="36"/>
        <v/>
      </c>
    </row>
    <row r="1992" spans="2:2" x14ac:dyDescent="0.2">
      <c r="B1992" s="23" t="str">
        <f t="shared" si="36"/>
        <v/>
      </c>
    </row>
    <row r="1993" spans="2:2" x14ac:dyDescent="0.2">
      <c r="B1993" s="23" t="str">
        <f t="shared" si="36"/>
        <v/>
      </c>
    </row>
    <row r="1994" spans="2:2" x14ac:dyDescent="0.2">
      <c r="B1994" s="23" t="str">
        <f t="shared" si="36"/>
        <v/>
      </c>
    </row>
    <row r="1995" spans="2:2" x14ac:dyDescent="0.2">
      <c r="B1995" s="23" t="str">
        <f t="shared" si="36"/>
        <v/>
      </c>
    </row>
    <row r="1996" spans="2:2" x14ac:dyDescent="0.2">
      <c r="B1996" s="23" t="str">
        <f t="shared" si="36"/>
        <v/>
      </c>
    </row>
    <row r="1997" spans="2:2" x14ac:dyDescent="0.2">
      <c r="B1997" s="23" t="str">
        <f t="shared" si="36"/>
        <v/>
      </c>
    </row>
    <row r="1998" spans="2:2" x14ac:dyDescent="0.2">
      <c r="B1998" s="23" t="str">
        <f t="shared" si="36"/>
        <v/>
      </c>
    </row>
    <row r="1999" spans="2:2" x14ac:dyDescent="0.2">
      <c r="B1999" s="23" t="str">
        <f t="shared" si="36"/>
        <v/>
      </c>
    </row>
    <row r="2000" spans="2:2" x14ac:dyDescent="0.2">
      <c r="B2000" s="23" t="str">
        <f t="shared" si="36"/>
        <v/>
      </c>
    </row>
    <row r="2001" spans="2:2" x14ac:dyDescent="0.2">
      <c r="B2001" s="23" t="str">
        <f t="shared" si="36"/>
        <v/>
      </c>
    </row>
    <row r="2002" spans="2:2" x14ac:dyDescent="0.2">
      <c r="B2002" s="23" t="str">
        <f t="shared" si="36"/>
        <v/>
      </c>
    </row>
    <row r="2003" spans="2:2" x14ac:dyDescent="0.2">
      <c r="B2003" s="23" t="str">
        <f t="shared" si="36"/>
        <v/>
      </c>
    </row>
    <row r="2004" spans="2:2" x14ac:dyDescent="0.2">
      <c r="B2004" s="23" t="str">
        <f t="shared" si="36"/>
        <v/>
      </c>
    </row>
    <row r="2005" spans="2:2" x14ac:dyDescent="0.2">
      <c r="B2005" s="23" t="str">
        <f t="shared" si="36"/>
        <v/>
      </c>
    </row>
    <row r="2006" spans="2:2" x14ac:dyDescent="0.2">
      <c r="B2006" s="23" t="str">
        <f t="shared" si="36"/>
        <v/>
      </c>
    </row>
    <row r="2007" spans="2:2" x14ac:dyDescent="0.2">
      <c r="B2007" s="23" t="str">
        <f t="shared" si="36"/>
        <v/>
      </c>
    </row>
    <row r="2008" spans="2:2" x14ac:dyDescent="0.2">
      <c r="B2008" s="23" t="str">
        <f t="shared" si="36"/>
        <v/>
      </c>
    </row>
    <row r="2009" spans="2:2" x14ac:dyDescent="0.2">
      <c r="B2009" s="23" t="str">
        <f t="shared" si="36"/>
        <v/>
      </c>
    </row>
    <row r="2010" spans="2:2" x14ac:dyDescent="0.2">
      <c r="B2010" s="23" t="str">
        <f t="shared" si="36"/>
        <v/>
      </c>
    </row>
    <row r="2011" spans="2:2" x14ac:dyDescent="0.2">
      <c r="B2011" s="23" t="str">
        <f t="shared" si="36"/>
        <v/>
      </c>
    </row>
    <row r="2012" spans="2:2" x14ac:dyDescent="0.2">
      <c r="B2012" s="23" t="str">
        <f t="shared" si="36"/>
        <v/>
      </c>
    </row>
    <row r="2013" spans="2:2" x14ac:dyDescent="0.2">
      <c r="B2013" s="23" t="str">
        <f t="shared" si="36"/>
        <v/>
      </c>
    </row>
    <row r="2014" spans="2:2" x14ac:dyDescent="0.2">
      <c r="B2014" s="23" t="str">
        <f t="shared" si="36"/>
        <v/>
      </c>
    </row>
    <row r="2015" spans="2:2" x14ac:dyDescent="0.2">
      <c r="B2015" s="23" t="str">
        <f t="shared" si="36"/>
        <v/>
      </c>
    </row>
    <row r="2016" spans="2:2" x14ac:dyDescent="0.2">
      <c r="B2016" s="23" t="str">
        <f t="shared" si="36"/>
        <v/>
      </c>
    </row>
    <row r="2017" spans="2:2" x14ac:dyDescent="0.2">
      <c r="B2017" s="23" t="str">
        <f t="shared" si="36"/>
        <v/>
      </c>
    </row>
    <row r="2018" spans="2:2" x14ac:dyDescent="0.2">
      <c r="B2018" s="23" t="str">
        <f t="shared" si="36"/>
        <v/>
      </c>
    </row>
    <row r="2019" spans="2:2" x14ac:dyDescent="0.2">
      <c r="B2019" s="23" t="str">
        <f t="shared" si="36"/>
        <v/>
      </c>
    </row>
    <row r="2020" spans="2:2" x14ac:dyDescent="0.2">
      <c r="B2020" s="23" t="str">
        <f t="shared" si="36"/>
        <v/>
      </c>
    </row>
    <row r="2021" spans="2:2" x14ac:dyDescent="0.2">
      <c r="B2021" s="23" t="str">
        <f t="shared" si="36"/>
        <v/>
      </c>
    </row>
    <row r="2022" spans="2:2" x14ac:dyDescent="0.2">
      <c r="B2022" s="23" t="str">
        <f t="shared" si="36"/>
        <v/>
      </c>
    </row>
    <row r="2023" spans="2:2" x14ac:dyDescent="0.2">
      <c r="B2023" s="23" t="str">
        <f t="shared" si="36"/>
        <v/>
      </c>
    </row>
    <row r="2024" spans="2:2" x14ac:dyDescent="0.2">
      <c r="B2024" s="23" t="str">
        <f t="shared" si="36"/>
        <v/>
      </c>
    </row>
    <row r="2025" spans="2:2" x14ac:dyDescent="0.2">
      <c r="B2025" s="23" t="str">
        <f t="shared" si="36"/>
        <v/>
      </c>
    </row>
    <row r="2026" spans="2:2" x14ac:dyDescent="0.2">
      <c r="B2026" s="23" t="str">
        <f t="shared" si="36"/>
        <v/>
      </c>
    </row>
    <row r="2027" spans="2:2" x14ac:dyDescent="0.2">
      <c r="B2027" s="23" t="str">
        <f t="shared" si="36"/>
        <v/>
      </c>
    </row>
    <row r="2028" spans="2:2" x14ac:dyDescent="0.2">
      <c r="B2028" s="23" t="str">
        <f t="shared" si="36"/>
        <v/>
      </c>
    </row>
    <row r="2029" spans="2:2" x14ac:dyDescent="0.2">
      <c r="B2029" s="23" t="str">
        <f t="shared" si="36"/>
        <v/>
      </c>
    </row>
    <row r="2030" spans="2:2" x14ac:dyDescent="0.2">
      <c r="B2030" s="23" t="str">
        <f t="shared" si="36"/>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19087-FF87-415E-AC41-F9F3904160C2}">
  <sheetPr codeName="Sheet3">
    <tabColor rgb="FF50B47F"/>
  </sheetPr>
  <dimension ref="A2:O2994"/>
  <sheetViews>
    <sheetView showGridLines="0" showRowColHeaders="0" zoomScale="80" zoomScaleNormal="80" workbookViewId="0">
      <pane ySplit="2" topLeftCell="A181" activePane="bottomLeft" state="frozen"/>
      <selection pane="bottomLeft" activeCell="C3" sqref="C3"/>
    </sheetView>
  </sheetViews>
  <sheetFormatPr defaultColWidth="0" defaultRowHeight="12.75" x14ac:dyDescent="0.2"/>
  <cols>
    <col min="1" max="1" width="15.7109375" style="5" customWidth="1"/>
    <col min="2" max="2" width="15.7109375" customWidth="1"/>
    <col min="3" max="8" width="20.7109375" customWidth="1"/>
    <col min="9" max="13" width="16.7109375" customWidth="1"/>
    <col min="14" max="14" width="0.5703125" customWidth="1"/>
    <col min="15" max="15" width="0.42578125" customWidth="1"/>
    <col min="16" max="16384" width="9.140625" hidden="1"/>
  </cols>
  <sheetData>
    <row r="2" spans="1:13" ht="51" customHeight="1" thickBot="1" x14ac:dyDescent="0.25">
      <c r="A2" s="9" t="s">
        <v>321</v>
      </c>
      <c r="B2" s="10" t="s">
        <v>22</v>
      </c>
      <c r="C2" s="10" t="s">
        <v>27</v>
      </c>
      <c r="D2" s="10" t="s">
        <v>42</v>
      </c>
      <c r="E2" s="10" t="s">
        <v>43</v>
      </c>
      <c r="F2" s="10" t="s">
        <v>44</v>
      </c>
      <c r="G2" s="10" t="s">
        <v>18</v>
      </c>
      <c r="H2" s="10" t="s">
        <v>62</v>
      </c>
      <c r="I2" s="10" t="s">
        <v>63</v>
      </c>
      <c r="J2" s="10" t="s">
        <v>64</v>
      </c>
      <c r="K2" s="10" t="s">
        <v>73</v>
      </c>
      <c r="L2" s="10" t="s">
        <v>65</v>
      </c>
      <c r="M2" s="10" t="s">
        <v>316</v>
      </c>
    </row>
    <row r="3" spans="1:13" x14ac:dyDescent="0.2">
      <c r="A3" s="5" t="str">
        <f>IF(AND(B2&lt;&gt;"",B3=""),$A$2&amp;"---&gt;","")</f>
        <v/>
      </c>
      <c r="B3" s="37">
        <v>43862</v>
      </c>
      <c r="C3" s="40" t="s">
        <v>132</v>
      </c>
      <c r="D3" s="50" t="str">
        <f>IFERROR(IF(COV_TRACK[[#This Row],[Employee Name]]="","",VLOOKUP(COV_TRACK[[#This Row],[Employee Name]],Database!B:F,2,0)),"")</f>
        <v>EMP-00065</v>
      </c>
      <c r="E3" s="71">
        <f>IFERROR(IF(COV_TRACK[[#This Row],[Employee Name]]="","",VLOOKUP(COV_TRACK[[#This Row],[Employee Name]],Database!B:F,3,0)),"")</f>
        <v>34</v>
      </c>
      <c r="F3" s="50" t="str">
        <f>IFERROR(IF(COV_TRACK[[#This Row],[Employee Name]]="","",VLOOKUP(COV_TRACK[[#This Row],[Employee Name]],Database!B:F,4,0)),"")</f>
        <v>F</v>
      </c>
      <c r="G3" s="50" t="str">
        <f>IFERROR(IF(COV_TRACK[[#This Row],[Employee Name]]="","",VLOOKUP(COV_TRACK[[#This Row],[Employee Name]],Database!B:F,5,0)),"")</f>
        <v>Warehouse</v>
      </c>
      <c r="H3" s="41">
        <v>38</v>
      </c>
      <c r="I3" s="52" t="str">
        <f>IFERROR(IF(COV_TRACK[[#This Row],[TEMP  Cº]]="","",IF(COV_TRACK[[#This Row],[TEMP  Cº]]&lt;=Database!$N$5,Database!$L$5,IF(COV_TRACK[[#This Row],[TEMP  Cº]]&lt;=Database!$N$6,Database!$L$6,IF(COV_TRACK[[#This Row],[TEMP  Cº]]&lt;=Database!$N$7,Database!$L$7,Database!$L$8)))),"")</f>
        <v>Medium Risk</v>
      </c>
      <c r="J3" s="25" t="s">
        <v>279</v>
      </c>
      <c r="K3" s="26" t="s">
        <v>281</v>
      </c>
      <c r="L3" s="25" t="s">
        <v>280</v>
      </c>
      <c r="M3" s="27" t="s">
        <v>282</v>
      </c>
    </row>
    <row r="4" spans="1:13" x14ac:dyDescent="0.2">
      <c r="A4" s="5" t="str">
        <f t="shared" ref="A4:A67" si="0">IF(AND(B3&lt;&gt;"",B4=""),$A$2&amp;"---&gt;","")</f>
        <v/>
      </c>
      <c r="B4" s="37">
        <v>44126</v>
      </c>
      <c r="C4" s="40" t="s">
        <v>36</v>
      </c>
      <c r="D4" s="55" t="str">
        <f>IFERROR(IF(COV_TRACK[[#This Row],[Employee Name]]="","",VLOOKUP(COV_TRACK[[#This Row],[Employee Name]],Database!B:F,2,0)),"")</f>
        <v>EMP-00009</v>
      </c>
      <c r="E4" s="72">
        <f>IFERROR(IF(COV_TRACK[[#This Row],[Employee Name]]="","",VLOOKUP(COV_TRACK[[#This Row],[Employee Name]],Database!B:F,3,0)),"")</f>
        <v>36</v>
      </c>
      <c r="F4" s="55" t="str">
        <f>IFERROR(IF(COV_TRACK[[#This Row],[Employee Name]]="","",VLOOKUP(COV_TRACK[[#This Row],[Employee Name]],Database!B:F,4,0)),"")</f>
        <v>M</v>
      </c>
      <c r="G4" s="55" t="str">
        <f>IFERROR(IF(COV_TRACK[[#This Row],[Employee Name]]="","",VLOOKUP(COV_TRACK[[#This Row],[Employee Name]],Database!B:F,5,0)),"")</f>
        <v>Finance</v>
      </c>
      <c r="H4" s="56">
        <v>37</v>
      </c>
      <c r="I4" s="57" t="str">
        <f>IFERROR(IF(COV_TRACK[[#This Row],[TEMP  Cº]]="","",IF(COV_TRACK[[#This Row],[TEMP  Cº]]&lt;=Database!$N$5,Database!$L$5,IF(COV_TRACK[[#This Row],[TEMP  Cº]]&lt;=Database!$N$6,Database!$L$6,IF(COV_TRACK[[#This Row],[TEMP  Cº]]&lt;=Database!$N$7,Database!$L$7,Database!$L$8)))),"")</f>
        <v>Normal</v>
      </c>
      <c r="J4" s="25" t="s">
        <v>279</v>
      </c>
      <c r="K4" s="58" t="s">
        <v>281</v>
      </c>
      <c r="L4" s="59" t="s">
        <v>280</v>
      </c>
      <c r="M4" s="60" t="s">
        <v>282</v>
      </c>
    </row>
    <row r="5" spans="1:13" x14ac:dyDescent="0.2">
      <c r="A5" s="5" t="str">
        <f t="shared" si="0"/>
        <v/>
      </c>
      <c r="B5" s="37">
        <v>43994</v>
      </c>
      <c r="C5" s="40" t="s">
        <v>162</v>
      </c>
      <c r="D5" s="55" t="str">
        <f>IFERROR(IF(COV_TRACK[[#This Row],[Employee Name]]="","",VLOOKUP(COV_TRACK[[#This Row],[Employee Name]],Database!B:F,2,0)),"")</f>
        <v>EMP-00095</v>
      </c>
      <c r="E5" s="72">
        <f>IFERROR(IF(COV_TRACK[[#This Row],[Employee Name]]="","",VLOOKUP(COV_TRACK[[#This Row],[Employee Name]],Database!B:F,3,0)),"")</f>
        <v>38</v>
      </c>
      <c r="F5" s="55" t="str">
        <f>IFERROR(IF(COV_TRACK[[#This Row],[Employee Name]]="","",VLOOKUP(COV_TRACK[[#This Row],[Employee Name]],Database!B:F,4,0)),"")</f>
        <v>M</v>
      </c>
      <c r="G5" s="55" t="str">
        <f>IFERROR(IF(COV_TRACK[[#This Row],[Employee Name]]="","",VLOOKUP(COV_TRACK[[#This Row],[Employee Name]],Database!B:F,5,0)),"")</f>
        <v>Production</v>
      </c>
      <c r="H5" s="56">
        <v>37</v>
      </c>
      <c r="I5" s="57" t="str">
        <f>IFERROR(IF(COV_TRACK[[#This Row],[TEMP  Cº]]="","",IF(COV_TRACK[[#This Row],[TEMP  Cº]]&lt;=Database!$N$5,Database!$L$5,IF(COV_TRACK[[#This Row],[TEMP  Cº]]&lt;=Database!$N$6,Database!$L$6,IF(COV_TRACK[[#This Row],[TEMP  Cº]]&lt;=Database!$N$7,Database!$L$7,Database!$L$8)))),"")</f>
        <v>Normal</v>
      </c>
      <c r="J5" s="25" t="s">
        <v>279</v>
      </c>
      <c r="K5" s="58" t="s">
        <v>281</v>
      </c>
      <c r="L5" s="59" t="s">
        <v>280</v>
      </c>
      <c r="M5" s="60" t="s">
        <v>282</v>
      </c>
    </row>
    <row r="6" spans="1:13" x14ac:dyDescent="0.2">
      <c r="A6" s="5" t="str">
        <f t="shared" si="0"/>
        <v/>
      </c>
      <c r="B6" s="37">
        <v>44160</v>
      </c>
      <c r="C6" s="40" t="s">
        <v>116</v>
      </c>
      <c r="D6" s="55" t="str">
        <f>IFERROR(IF(COV_TRACK[[#This Row],[Employee Name]]="","",VLOOKUP(COV_TRACK[[#This Row],[Employee Name]],Database!B:F,2,0)),"")</f>
        <v>EMP-00049</v>
      </c>
      <c r="E6" s="72">
        <f>IFERROR(IF(COV_TRACK[[#This Row],[Employee Name]]="","",VLOOKUP(COV_TRACK[[#This Row],[Employee Name]],Database!B:F,3,0)),"")</f>
        <v>28</v>
      </c>
      <c r="F6" s="55" t="str">
        <f>IFERROR(IF(COV_TRACK[[#This Row],[Employee Name]]="","",VLOOKUP(COV_TRACK[[#This Row],[Employee Name]],Database!B:F,4,0)),"")</f>
        <v>M</v>
      </c>
      <c r="G6" s="55" t="str">
        <f>IFERROR(IF(COV_TRACK[[#This Row],[Employee Name]]="","",VLOOKUP(COV_TRACK[[#This Row],[Employee Name]],Database!B:F,5,0)),"")</f>
        <v>Production</v>
      </c>
      <c r="H6" s="56">
        <v>38</v>
      </c>
      <c r="I6" s="57" t="str">
        <f>IFERROR(IF(COV_TRACK[[#This Row],[TEMP  Cº]]="","",IF(COV_TRACK[[#This Row],[TEMP  Cº]]&lt;=Database!$N$5,Database!$L$5,IF(COV_TRACK[[#This Row],[TEMP  Cº]]&lt;=Database!$N$6,Database!$L$6,IF(COV_TRACK[[#This Row],[TEMP  Cº]]&lt;=Database!$N$7,Database!$L$7,Database!$L$8)))),"")</f>
        <v>Medium Risk</v>
      </c>
      <c r="J6" s="25" t="s">
        <v>279</v>
      </c>
      <c r="K6" s="58" t="s">
        <v>281</v>
      </c>
      <c r="L6" s="59" t="s">
        <v>280</v>
      </c>
      <c r="M6" s="60" t="s">
        <v>282</v>
      </c>
    </row>
    <row r="7" spans="1:13" x14ac:dyDescent="0.2">
      <c r="A7" s="5" t="str">
        <f t="shared" si="0"/>
        <v/>
      </c>
      <c r="B7" s="37">
        <v>43970</v>
      </c>
      <c r="C7" s="40" t="s">
        <v>104</v>
      </c>
      <c r="D7" s="55" t="str">
        <f>IFERROR(IF(COV_TRACK[[#This Row],[Employee Name]]="","",VLOOKUP(COV_TRACK[[#This Row],[Employee Name]],Database!B:F,2,0)),"")</f>
        <v>EMP-00037</v>
      </c>
      <c r="E7" s="72">
        <f>IFERROR(IF(COV_TRACK[[#This Row],[Employee Name]]="","",VLOOKUP(COV_TRACK[[#This Row],[Employee Name]],Database!B:F,3,0)),"")</f>
        <v>29</v>
      </c>
      <c r="F7" s="55" t="str">
        <f>IFERROR(IF(COV_TRACK[[#This Row],[Employee Name]]="","",VLOOKUP(COV_TRACK[[#This Row],[Employee Name]],Database!B:F,4,0)),"")</f>
        <v>F</v>
      </c>
      <c r="G7" s="55" t="str">
        <f>IFERROR(IF(COV_TRACK[[#This Row],[Employee Name]]="","",VLOOKUP(COV_TRACK[[#This Row],[Employee Name]],Database!B:F,5,0)),"")</f>
        <v>Planning</v>
      </c>
      <c r="H7" s="56">
        <v>38</v>
      </c>
      <c r="I7" s="57" t="str">
        <f>IFERROR(IF(COV_TRACK[[#This Row],[TEMP  Cº]]="","",IF(COV_TRACK[[#This Row],[TEMP  Cº]]&lt;=Database!$N$5,Database!$L$5,IF(COV_TRACK[[#This Row],[TEMP  Cº]]&lt;=Database!$N$6,Database!$L$6,IF(COV_TRACK[[#This Row],[TEMP  Cº]]&lt;=Database!$N$7,Database!$L$7,Database!$L$8)))),"")</f>
        <v>Medium Risk</v>
      </c>
      <c r="J7" s="25" t="s">
        <v>279</v>
      </c>
      <c r="K7" s="58" t="s">
        <v>281</v>
      </c>
      <c r="L7" s="59" t="s">
        <v>280</v>
      </c>
      <c r="M7" s="60" t="s">
        <v>282</v>
      </c>
    </row>
    <row r="8" spans="1:13" x14ac:dyDescent="0.2">
      <c r="A8" s="5" t="str">
        <f t="shared" si="0"/>
        <v/>
      </c>
      <c r="B8" s="37">
        <v>44094</v>
      </c>
      <c r="C8" s="40" t="s">
        <v>95</v>
      </c>
      <c r="D8" s="55" t="str">
        <f>IFERROR(IF(COV_TRACK[[#This Row],[Employee Name]]="","",VLOOKUP(COV_TRACK[[#This Row],[Employee Name]],Database!B:F,2,0)),"")</f>
        <v>EMP-00028</v>
      </c>
      <c r="E8" s="72">
        <f>IFERROR(IF(COV_TRACK[[#This Row],[Employee Name]]="","",VLOOKUP(COV_TRACK[[#This Row],[Employee Name]],Database!B:F,3,0)),"")</f>
        <v>30</v>
      </c>
      <c r="F8" s="55" t="str">
        <f>IFERROR(IF(COV_TRACK[[#This Row],[Employee Name]]="","",VLOOKUP(COV_TRACK[[#This Row],[Employee Name]],Database!B:F,4,0)),"")</f>
        <v>M</v>
      </c>
      <c r="G8" s="55" t="str">
        <f>IFERROR(IF(COV_TRACK[[#This Row],[Employee Name]]="","",VLOOKUP(COV_TRACK[[#This Row],[Employee Name]],Database!B:F,5,0)),"")</f>
        <v>Planning</v>
      </c>
      <c r="H8" s="56">
        <v>38</v>
      </c>
      <c r="I8" s="57" t="str">
        <f>IFERROR(IF(COV_TRACK[[#This Row],[TEMP  Cº]]="","",IF(COV_TRACK[[#This Row],[TEMP  Cº]]&lt;=Database!$N$5,Database!$L$5,IF(COV_TRACK[[#This Row],[TEMP  Cº]]&lt;=Database!$N$6,Database!$L$6,IF(COV_TRACK[[#This Row],[TEMP  Cº]]&lt;=Database!$N$7,Database!$L$7,Database!$L$8)))),"")</f>
        <v>Medium Risk</v>
      </c>
      <c r="J8" s="25" t="s">
        <v>279</v>
      </c>
      <c r="K8" s="58" t="s">
        <v>281</v>
      </c>
      <c r="L8" s="59" t="s">
        <v>280</v>
      </c>
      <c r="M8" s="60" t="s">
        <v>282</v>
      </c>
    </row>
    <row r="9" spans="1:13" x14ac:dyDescent="0.2">
      <c r="A9" s="5" t="str">
        <f t="shared" si="0"/>
        <v/>
      </c>
      <c r="B9" s="37">
        <v>44182</v>
      </c>
      <c r="C9" s="40" t="s">
        <v>91</v>
      </c>
      <c r="D9" s="55" t="str">
        <f>IFERROR(IF(COV_TRACK[[#This Row],[Employee Name]]="","",VLOOKUP(COV_TRACK[[#This Row],[Employee Name]],Database!B:F,2,0)),"")</f>
        <v>EMP-00024</v>
      </c>
      <c r="E9" s="72">
        <f>IFERROR(IF(COV_TRACK[[#This Row],[Employee Name]]="","",VLOOKUP(COV_TRACK[[#This Row],[Employee Name]],Database!B:F,3,0)),"")</f>
        <v>30</v>
      </c>
      <c r="F9" s="55" t="str">
        <f>IFERROR(IF(COV_TRACK[[#This Row],[Employee Name]]="","",VLOOKUP(COV_TRACK[[#This Row],[Employee Name]],Database!B:F,4,0)),"")</f>
        <v>M</v>
      </c>
      <c r="G9" s="55" t="str">
        <f>IFERROR(IF(COV_TRACK[[#This Row],[Employee Name]]="","",VLOOKUP(COV_TRACK[[#This Row],[Employee Name]],Database!B:F,5,0)),"")</f>
        <v>Delivery</v>
      </c>
      <c r="H9" s="56">
        <v>38</v>
      </c>
      <c r="I9" s="57" t="str">
        <f>IFERROR(IF(COV_TRACK[[#This Row],[TEMP  Cº]]="","",IF(COV_TRACK[[#This Row],[TEMP  Cº]]&lt;=Database!$N$5,Database!$L$5,IF(COV_TRACK[[#This Row],[TEMP  Cº]]&lt;=Database!$N$6,Database!$L$6,IF(COV_TRACK[[#This Row],[TEMP  Cº]]&lt;=Database!$N$7,Database!$L$7,Database!$L$8)))),"")</f>
        <v>Medium Risk</v>
      </c>
      <c r="J9" s="25" t="s">
        <v>279</v>
      </c>
      <c r="K9" s="58" t="s">
        <v>281</v>
      </c>
      <c r="L9" s="59" t="s">
        <v>280</v>
      </c>
      <c r="M9" s="60" t="s">
        <v>282</v>
      </c>
    </row>
    <row r="10" spans="1:13" x14ac:dyDescent="0.2">
      <c r="A10" s="5" t="str">
        <f t="shared" si="0"/>
        <v/>
      </c>
      <c r="B10" s="37">
        <v>43859</v>
      </c>
      <c r="C10" s="40" t="s">
        <v>41</v>
      </c>
      <c r="D10" s="55" t="str">
        <f>IFERROR(IF(COV_TRACK[[#This Row],[Employee Name]]="","",VLOOKUP(COV_TRACK[[#This Row],[Employee Name]],Database!B:F,2,0)),"")</f>
        <v>EMP-00014</v>
      </c>
      <c r="E10" s="72">
        <f>IFERROR(IF(COV_TRACK[[#This Row],[Employee Name]]="","",VLOOKUP(COV_TRACK[[#This Row],[Employee Name]],Database!B:F,3,0)),"")</f>
        <v>28</v>
      </c>
      <c r="F10" s="55" t="str">
        <f>IFERROR(IF(COV_TRACK[[#This Row],[Employee Name]]="","",VLOOKUP(COV_TRACK[[#This Row],[Employee Name]],Database!B:F,4,0)),"")</f>
        <v>M</v>
      </c>
      <c r="G10" s="55" t="str">
        <f>IFERROR(IF(COV_TRACK[[#This Row],[Employee Name]]="","",VLOOKUP(COV_TRACK[[#This Row],[Employee Name]],Database!B:F,5,0)),"")</f>
        <v>HR</v>
      </c>
      <c r="H10" s="56">
        <v>37</v>
      </c>
      <c r="I10" s="57" t="str">
        <f>IFERROR(IF(COV_TRACK[[#This Row],[TEMP  Cº]]="","",IF(COV_TRACK[[#This Row],[TEMP  Cº]]&lt;=Database!$N$5,Database!$L$5,IF(COV_TRACK[[#This Row],[TEMP  Cº]]&lt;=Database!$N$6,Database!$L$6,IF(COV_TRACK[[#This Row],[TEMP  Cº]]&lt;=Database!$N$7,Database!$L$7,Database!$L$8)))),"")</f>
        <v>Normal</v>
      </c>
      <c r="J10" s="25" t="s">
        <v>279</v>
      </c>
      <c r="K10" s="58" t="s">
        <v>281</v>
      </c>
      <c r="L10" s="59" t="s">
        <v>280</v>
      </c>
      <c r="M10" s="60" t="s">
        <v>282</v>
      </c>
    </row>
    <row r="11" spans="1:13" x14ac:dyDescent="0.2">
      <c r="A11" s="5" t="str">
        <f t="shared" si="0"/>
        <v/>
      </c>
      <c r="B11" s="37">
        <v>44065</v>
      </c>
      <c r="C11" s="40" t="s">
        <v>118</v>
      </c>
      <c r="D11" s="55" t="str">
        <f>IFERROR(IF(COV_TRACK[[#This Row],[Employee Name]]="","",VLOOKUP(COV_TRACK[[#This Row],[Employee Name]],Database!B:F,2,0)),"")</f>
        <v>EMP-00051</v>
      </c>
      <c r="E11" s="72">
        <f>IFERROR(IF(COV_TRACK[[#This Row],[Employee Name]]="","",VLOOKUP(COV_TRACK[[#This Row],[Employee Name]],Database!B:F,3,0)),"")</f>
        <v>32</v>
      </c>
      <c r="F11" s="55" t="str">
        <f>IFERROR(IF(COV_TRACK[[#This Row],[Employee Name]]="","",VLOOKUP(COV_TRACK[[#This Row],[Employee Name]],Database!B:F,4,0)),"")</f>
        <v>F</v>
      </c>
      <c r="G11" s="55" t="str">
        <f>IFERROR(IF(COV_TRACK[[#This Row],[Employee Name]]="","",VLOOKUP(COV_TRACK[[#This Row],[Employee Name]],Database!B:F,5,0)),"")</f>
        <v>Purchasing</v>
      </c>
      <c r="H11" s="56">
        <v>38</v>
      </c>
      <c r="I11" s="57" t="str">
        <f>IFERROR(IF(COV_TRACK[[#This Row],[TEMP  Cº]]="","",IF(COV_TRACK[[#This Row],[TEMP  Cº]]&lt;=Database!$N$5,Database!$L$5,IF(COV_TRACK[[#This Row],[TEMP  Cº]]&lt;=Database!$N$6,Database!$L$6,IF(COV_TRACK[[#This Row],[TEMP  Cº]]&lt;=Database!$N$7,Database!$L$7,Database!$L$8)))),"")</f>
        <v>Medium Risk</v>
      </c>
      <c r="J11" s="25" t="s">
        <v>279</v>
      </c>
      <c r="K11" s="58" t="s">
        <v>281</v>
      </c>
      <c r="L11" s="59" t="s">
        <v>280</v>
      </c>
      <c r="M11" s="60" t="s">
        <v>282</v>
      </c>
    </row>
    <row r="12" spans="1:13" x14ac:dyDescent="0.2">
      <c r="A12" s="5" t="str">
        <f t="shared" si="0"/>
        <v/>
      </c>
      <c r="B12" s="37">
        <v>43874</v>
      </c>
      <c r="C12" s="40" t="s">
        <v>32</v>
      </c>
      <c r="D12" s="55" t="str">
        <f>IFERROR(IF(COV_TRACK[[#This Row],[Employee Name]]="","",VLOOKUP(COV_TRACK[[#This Row],[Employee Name]],Database!B:F,2,0)),"")</f>
        <v>EMP-00005</v>
      </c>
      <c r="E12" s="72">
        <f>IFERROR(IF(COV_TRACK[[#This Row],[Employee Name]]="","",VLOOKUP(COV_TRACK[[#This Row],[Employee Name]],Database!B:F,3,0)),"")</f>
        <v>36</v>
      </c>
      <c r="F12" s="55" t="str">
        <f>IFERROR(IF(COV_TRACK[[#This Row],[Employee Name]]="","",VLOOKUP(COV_TRACK[[#This Row],[Employee Name]],Database!B:F,4,0)),"")</f>
        <v>M</v>
      </c>
      <c r="G12" s="55" t="str">
        <f>IFERROR(IF(COV_TRACK[[#This Row],[Employee Name]]="","",VLOOKUP(COV_TRACK[[#This Row],[Employee Name]],Database!B:F,5,0)),"")</f>
        <v>Finance</v>
      </c>
      <c r="H12" s="56">
        <v>38</v>
      </c>
      <c r="I12" s="57" t="str">
        <f>IFERROR(IF(COV_TRACK[[#This Row],[TEMP  Cº]]="","",IF(COV_TRACK[[#This Row],[TEMP  Cº]]&lt;=Database!$N$5,Database!$L$5,IF(COV_TRACK[[#This Row],[TEMP  Cº]]&lt;=Database!$N$6,Database!$L$6,IF(COV_TRACK[[#This Row],[TEMP  Cº]]&lt;=Database!$N$7,Database!$L$7,Database!$L$8)))),"")</f>
        <v>Medium Risk</v>
      </c>
      <c r="J12" s="25" t="s">
        <v>279</v>
      </c>
      <c r="K12" s="58" t="s">
        <v>281</v>
      </c>
      <c r="L12" s="59" t="s">
        <v>280</v>
      </c>
      <c r="M12" s="60" t="s">
        <v>282</v>
      </c>
    </row>
    <row r="13" spans="1:13" x14ac:dyDescent="0.2">
      <c r="A13" s="5" t="str">
        <f t="shared" si="0"/>
        <v/>
      </c>
      <c r="B13" s="37">
        <v>44000</v>
      </c>
      <c r="C13" s="40" t="s">
        <v>120</v>
      </c>
      <c r="D13" s="55" t="str">
        <f>IFERROR(IF(COV_TRACK[[#This Row],[Employee Name]]="","",VLOOKUP(COV_TRACK[[#This Row],[Employee Name]],Database!B:F,2,0)),"")</f>
        <v>EMP-00053</v>
      </c>
      <c r="E13" s="72">
        <f>IFERROR(IF(COV_TRACK[[#This Row],[Employee Name]]="","",VLOOKUP(COV_TRACK[[#This Row],[Employee Name]],Database!B:F,3,0)),"")</f>
        <v>34</v>
      </c>
      <c r="F13" s="55" t="str">
        <f>IFERROR(IF(COV_TRACK[[#This Row],[Employee Name]]="","",VLOOKUP(COV_TRACK[[#This Row],[Employee Name]],Database!B:F,4,0)),"")</f>
        <v>F</v>
      </c>
      <c r="G13" s="55" t="str">
        <f>IFERROR(IF(COV_TRACK[[#This Row],[Employee Name]]="","",VLOOKUP(COV_TRACK[[#This Row],[Employee Name]],Database!B:F,5,0)),"")</f>
        <v>Planning</v>
      </c>
      <c r="H13" s="56">
        <v>38</v>
      </c>
      <c r="I13" s="57" t="str">
        <f>IFERROR(IF(COV_TRACK[[#This Row],[TEMP  Cº]]="","",IF(COV_TRACK[[#This Row],[TEMP  Cº]]&lt;=Database!$N$5,Database!$L$5,IF(COV_TRACK[[#This Row],[TEMP  Cº]]&lt;=Database!$N$6,Database!$L$6,IF(COV_TRACK[[#This Row],[TEMP  Cº]]&lt;=Database!$N$7,Database!$L$7,Database!$L$8)))),"")</f>
        <v>Medium Risk</v>
      </c>
      <c r="J13" s="25" t="s">
        <v>279</v>
      </c>
      <c r="K13" s="58" t="s">
        <v>281</v>
      </c>
      <c r="L13" s="59" t="s">
        <v>280</v>
      </c>
      <c r="M13" s="60" t="s">
        <v>282</v>
      </c>
    </row>
    <row r="14" spans="1:13" x14ac:dyDescent="0.2">
      <c r="A14" s="5" t="str">
        <f t="shared" si="0"/>
        <v/>
      </c>
      <c r="B14" s="37">
        <v>44160</v>
      </c>
      <c r="C14" s="40" t="s">
        <v>107</v>
      </c>
      <c r="D14" s="55" t="str">
        <f>IFERROR(IF(COV_TRACK[[#This Row],[Employee Name]]="","",VLOOKUP(COV_TRACK[[#This Row],[Employee Name]],Database!B:F,2,0)),"")</f>
        <v>EMP-00040</v>
      </c>
      <c r="E14" s="72">
        <f>IFERROR(IF(COV_TRACK[[#This Row],[Employee Name]]="","",VLOOKUP(COV_TRACK[[#This Row],[Employee Name]],Database!B:F,3,0)),"")</f>
        <v>30</v>
      </c>
      <c r="F14" s="55" t="str">
        <f>IFERROR(IF(COV_TRACK[[#This Row],[Employee Name]]="","",VLOOKUP(COV_TRACK[[#This Row],[Employee Name]],Database!B:F,4,0)),"")</f>
        <v>M</v>
      </c>
      <c r="G14" s="55" t="str">
        <f>IFERROR(IF(COV_TRACK[[#This Row],[Employee Name]]="","",VLOOKUP(COV_TRACK[[#This Row],[Employee Name]],Database!B:F,5,0)),"")</f>
        <v>QA</v>
      </c>
      <c r="H14" s="56">
        <v>37</v>
      </c>
      <c r="I14" s="57" t="str">
        <f>IFERROR(IF(COV_TRACK[[#This Row],[TEMP  Cº]]="","",IF(COV_TRACK[[#This Row],[TEMP  Cº]]&lt;=Database!$N$5,Database!$L$5,IF(COV_TRACK[[#This Row],[TEMP  Cº]]&lt;=Database!$N$6,Database!$L$6,IF(COV_TRACK[[#This Row],[TEMP  Cº]]&lt;=Database!$N$7,Database!$L$7,Database!$L$8)))),"")</f>
        <v>Normal</v>
      </c>
      <c r="J14" s="25" t="s">
        <v>279</v>
      </c>
      <c r="K14" s="58" t="s">
        <v>281</v>
      </c>
      <c r="L14" s="59" t="s">
        <v>280</v>
      </c>
      <c r="M14" s="60" t="s">
        <v>282</v>
      </c>
    </row>
    <row r="15" spans="1:13" x14ac:dyDescent="0.2">
      <c r="A15" s="5" t="str">
        <f t="shared" si="0"/>
        <v/>
      </c>
      <c r="B15" s="37">
        <v>44143</v>
      </c>
      <c r="C15" s="40" t="s">
        <v>40</v>
      </c>
      <c r="D15" s="55" t="str">
        <f>IFERROR(IF(COV_TRACK[[#This Row],[Employee Name]]="","",VLOOKUP(COV_TRACK[[#This Row],[Employee Name]],Database!B:F,2,0)),"")</f>
        <v>EMP-00013</v>
      </c>
      <c r="E15" s="72">
        <f>IFERROR(IF(COV_TRACK[[#This Row],[Employee Name]]="","",VLOOKUP(COV_TRACK[[#This Row],[Employee Name]],Database!B:F,3,0)),"")</f>
        <v>33</v>
      </c>
      <c r="F15" s="55" t="str">
        <f>IFERROR(IF(COV_TRACK[[#This Row],[Employee Name]]="","",VLOOKUP(COV_TRACK[[#This Row],[Employee Name]],Database!B:F,4,0)),"")</f>
        <v>M</v>
      </c>
      <c r="G15" s="55" t="str">
        <f>IFERROR(IF(COV_TRACK[[#This Row],[Employee Name]]="","",VLOOKUP(COV_TRACK[[#This Row],[Employee Name]],Database!B:F,5,0)),"")</f>
        <v>Delivery</v>
      </c>
      <c r="H15" s="56">
        <v>37</v>
      </c>
      <c r="I15" s="57" t="str">
        <f>IFERROR(IF(COV_TRACK[[#This Row],[TEMP  Cº]]="","",IF(COV_TRACK[[#This Row],[TEMP  Cº]]&lt;=Database!$N$5,Database!$L$5,IF(COV_TRACK[[#This Row],[TEMP  Cº]]&lt;=Database!$N$6,Database!$L$6,IF(COV_TRACK[[#This Row],[TEMP  Cº]]&lt;=Database!$N$7,Database!$L$7,Database!$L$8)))),"")</f>
        <v>Normal</v>
      </c>
      <c r="J15" s="25" t="s">
        <v>279</v>
      </c>
      <c r="K15" s="58" t="s">
        <v>281</v>
      </c>
      <c r="L15" s="59" t="s">
        <v>280</v>
      </c>
      <c r="M15" s="60" t="s">
        <v>282</v>
      </c>
    </row>
    <row r="16" spans="1:13" x14ac:dyDescent="0.2">
      <c r="A16" s="5" t="str">
        <f t="shared" si="0"/>
        <v/>
      </c>
      <c r="B16" s="37">
        <v>44145</v>
      </c>
      <c r="C16" s="40" t="s">
        <v>109</v>
      </c>
      <c r="D16" s="55" t="str">
        <f>IFERROR(IF(COV_TRACK[[#This Row],[Employee Name]]="","",VLOOKUP(COV_TRACK[[#This Row],[Employee Name]],Database!B:F,2,0)),"")</f>
        <v>EMP-00042</v>
      </c>
      <c r="E16" s="72">
        <f>IFERROR(IF(COV_TRACK[[#This Row],[Employee Name]]="","",VLOOKUP(COV_TRACK[[#This Row],[Employee Name]],Database!B:F,3,0)),"")</f>
        <v>25</v>
      </c>
      <c r="F16" s="55" t="str">
        <f>IFERROR(IF(COV_TRACK[[#This Row],[Employee Name]]="","",VLOOKUP(COV_TRACK[[#This Row],[Employee Name]],Database!B:F,4,0)),"")</f>
        <v>M</v>
      </c>
      <c r="G16" s="55" t="str">
        <f>IFERROR(IF(COV_TRACK[[#This Row],[Employee Name]]="","",VLOOKUP(COV_TRACK[[#This Row],[Employee Name]],Database!B:F,5,0)),"")</f>
        <v>Purchasing</v>
      </c>
      <c r="H16" s="56">
        <v>38</v>
      </c>
      <c r="I16" s="57" t="str">
        <f>IFERROR(IF(COV_TRACK[[#This Row],[TEMP  Cº]]="","",IF(COV_TRACK[[#This Row],[TEMP  Cº]]&lt;=Database!$N$5,Database!$L$5,IF(COV_TRACK[[#This Row],[TEMP  Cº]]&lt;=Database!$N$6,Database!$L$6,IF(COV_TRACK[[#This Row],[TEMP  Cº]]&lt;=Database!$N$7,Database!$L$7,Database!$L$8)))),"")</f>
        <v>Medium Risk</v>
      </c>
      <c r="J16" s="25" t="s">
        <v>279</v>
      </c>
      <c r="K16" s="58" t="s">
        <v>281</v>
      </c>
      <c r="L16" s="59" t="s">
        <v>280</v>
      </c>
      <c r="M16" s="60" t="s">
        <v>282</v>
      </c>
    </row>
    <row r="17" spans="1:13" x14ac:dyDescent="0.2">
      <c r="A17" s="5" t="str">
        <f t="shared" si="0"/>
        <v/>
      </c>
      <c r="B17" s="37">
        <v>43915</v>
      </c>
      <c r="C17" s="40" t="s">
        <v>100</v>
      </c>
      <c r="D17" s="55" t="str">
        <f>IFERROR(IF(COV_TRACK[[#This Row],[Employee Name]]="","",VLOOKUP(COV_TRACK[[#This Row],[Employee Name]],Database!B:F,2,0)),"")</f>
        <v>EMP-00033</v>
      </c>
      <c r="E17" s="72">
        <f>IFERROR(IF(COV_TRACK[[#This Row],[Employee Name]]="","",VLOOKUP(COV_TRACK[[#This Row],[Employee Name]],Database!B:F,3,0)),"")</f>
        <v>31</v>
      </c>
      <c r="F17" s="55" t="str">
        <f>IFERROR(IF(COV_TRACK[[#This Row],[Employee Name]]="","",VLOOKUP(COV_TRACK[[#This Row],[Employee Name]],Database!B:F,4,0)),"")</f>
        <v>F</v>
      </c>
      <c r="G17" s="55" t="str">
        <f>IFERROR(IF(COV_TRACK[[#This Row],[Employee Name]]="","",VLOOKUP(COV_TRACK[[#This Row],[Employee Name]],Database!B:F,5,0)),"")</f>
        <v>HR</v>
      </c>
      <c r="H17" s="56">
        <v>37</v>
      </c>
      <c r="I17" s="57" t="str">
        <f>IFERROR(IF(COV_TRACK[[#This Row],[TEMP  Cº]]="","",IF(COV_TRACK[[#This Row],[TEMP  Cº]]&lt;=Database!$N$5,Database!$L$5,IF(COV_TRACK[[#This Row],[TEMP  Cº]]&lt;=Database!$N$6,Database!$L$6,IF(COV_TRACK[[#This Row],[TEMP  Cº]]&lt;=Database!$N$7,Database!$L$7,Database!$L$8)))),"")</f>
        <v>Normal</v>
      </c>
      <c r="J17" s="25" t="s">
        <v>280</v>
      </c>
      <c r="K17" s="58" t="s">
        <v>281</v>
      </c>
      <c r="L17" s="59" t="s">
        <v>280</v>
      </c>
      <c r="M17" s="60" t="s">
        <v>282</v>
      </c>
    </row>
    <row r="18" spans="1:13" x14ac:dyDescent="0.2">
      <c r="A18" s="5" t="str">
        <f t="shared" si="0"/>
        <v/>
      </c>
      <c r="B18" s="37">
        <v>44187</v>
      </c>
      <c r="C18" s="40" t="s">
        <v>105</v>
      </c>
      <c r="D18" s="55" t="str">
        <f>IFERROR(IF(COV_TRACK[[#This Row],[Employee Name]]="","",VLOOKUP(COV_TRACK[[#This Row],[Employee Name]],Database!B:F,2,0)),"")</f>
        <v>EMP-00038</v>
      </c>
      <c r="E18" s="72">
        <f>IFERROR(IF(COV_TRACK[[#This Row],[Employee Name]]="","",VLOOKUP(COV_TRACK[[#This Row],[Employee Name]],Database!B:F,3,0)),"")</f>
        <v>32</v>
      </c>
      <c r="F18" s="55" t="str">
        <f>IFERROR(IF(COV_TRACK[[#This Row],[Employee Name]]="","",VLOOKUP(COV_TRACK[[#This Row],[Employee Name]],Database!B:F,4,0)),"")</f>
        <v>M</v>
      </c>
      <c r="G18" s="55" t="str">
        <f>IFERROR(IF(COV_TRACK[[#This Row],[Employee Name]]="","",VLOOKUP(COV_TRACK[[#This Row],[Employee Name]],Database!B:F,5,0)),"")</f>
        <v>Planning</v>
      </c>
      <c r="H18" s="56">
        <v>38</v>
      </c>
      <c r="I18" s="57" t="str">
        <f>IFERROR(IF(COV_TRACK[[#This Row],[TEMP  Cº]]="","",IF(COV_TRACK[[#This Row],[TEMP  Cº]]&lt;=Database!$N$5,Database!$L$5,IF(COV_TRACK[[#This Row],[TEMP  Cº]]&lt;=Database!$N$6,Database!$L$6,IF(COV_TRACK[[#This Row],[TEMP  Cº]]&lt;=Database!$N$7,Database!$L$7,Database!$L$8)))),"")</f>
        <v>Medium Risk</v>
      </c>
      <c r="J18" s="25" t="s">
        <v>279</v>
      </c>
      <c r="K18" s="58" t="s">
        <v>281</v>
      </c>
      <c r="L18" s="59" t="s">
        <v>280</v>
      </c>
      <c r="M18" s="60" t="s">
        <v>282</v>
      </c>
    </row>
    <row r="19" spans="1:13" x14ac:dyDescent="0.2">
      <c r="A19" s="5" t="str">
        <f t="shared" si="0"/>
        <v/>
      </c>
      <c r="B19" s="37">
        <v>43861</v>
      </c>
      <c r="C19" s="40" t="s">
        <v>157</v>
      </c>
      <c r="D19" s="55" t="str">
        <f>IFERROR(IF(COV_TRACK[[#This Row],[Employee Name]]="","",VLOOKUP(COV_TRACK[[#This Row],[Employee Name]],Database!B:F,2,0)),"")</f>
        <v>EMP-00090</v>
      </c>
      <c r="E19" s="72">
        <f>IFERROR(IF(COV_TRACK[[#This Row],[Employee Name]]="","",VLOOKUP(COV_TRACK[[#This Row],[Employee Name]],Database!B:F,3,0)),"")</f>
        <v>25</v>
      </c>
      <c r="F19" s="55" t="str">
        <f>IFERROR(IF(COV_TRACK[[#This Row],[Employee Name]]="","",VLOOKUP(COV_TRACK[[#This Row],[Employee Name]],Database!B:F,4,0)),"")</f>
        <v>M</v>
      </c>
      <c r="G19" s="55" t="str">
        <f>IFERROR(IF(COV_TRACK[[#This Row],[Employee Name]]="","",VLOOKUP(COV_TRACK[[#This Row],[Employee Name]],Database!B:F,5,0)),"")</f>
        <v>HR</v>
      </c>
      <c r="H19" s="56">
        <v>37</v>
      </c>
      <c r="I19" s="57" t="str">
        <f>IFERROR(IF(COV_TRACK[[#This Row],[TEMP  Cº]]="","",IF(COV_TRACK[[#This Row],[TEMP  Cº]]&lt;=Database!$N$5,Database!$L$5,IF(COV_TRACK[[#This Row],[TEMP  Cº]]&lt;=Database!$N$6,Database!$L$6,IF(COV_TRACK[[#This Row],[TEMP  Cº]]&lt;=Database!$N$7,Database!$L$7,Database!$L$8)))),"")</f>
        <v>Normal</v>
      </c>
      <c r="J19" s="25" t="s">
        <v>279</v>
      </c>
      <c r="K19" s="58" t="s">
        <v>281</v>
      </c>
      <c r="L19" s="59" t="s">
        <v>280</v>
      </c>
      <c r="M19" s="60" t="s">
        <v>282</v>
      </c>
    </row>
    <row r="20" spans="1:13" x14ac:dyDescent="0.2">
      <c r="A20" s="5" t="str">
        <f t="shared" si="0"/>
        <v/>
      </c>
      <c r="B20" s="37">
        <v>44062</v>
      </c>
      <c r="C20" s="40" t="s">
        <v>123</v>
      </c>
      <c r="D20" s="55" t="str">
        <f>IFERROR(IF(COV_TRACK[[#This Row],[Employee Name]]="","",VLOOKUP(COV_TRACK[[#This Row],[Employee Name]],Database!B:F,2,0)),"")</f>
        <v>EMP-00056</v>
      </c>
      <c r="E20" s="72">
        <f>IFERROR(IF(COV_TRACK[[#This Row],[Employee Name]]="","",VLOOKUP(COV_TRACK[[#This Row],[Employee Name]],Database!B:F,3,0)),"")</f>
        <v>36</v>
      </c>
      <c r="F20" s="55" t="str">
        <f>IFERROR(IF(COV_TRACK[[#This Row],[Employee Name]]="","",VLOOKUP(COV_TRACK[[#This Row],[Employee Name]],Database!B:F,4,0)),"")</f>
        <v>M</v>
      </c>
      <c r="G20" s="55" t="str">
        <f>IFERROR(IF(COV_TRACK[[#This Row],[Employee Name]]="","",VLOOKUP(COV_TRACK[[#This Row],[Employee Name]],Database!B:F,5,0)),"")</f>
        <v>Planning</v>
      </c>
      <c r="H20" s="56">
        <v>38</v>
      </c>
      <c r="I20" s="57" t="str">
        <f>IFERROR(IF(COV_TRACK[[#This Row],[TEMP  Cº]]="","",IF(COV_TRACK[[#This Row],[TEMP  Cº]]&lt;=Database!$N$5,Database!$L$5,IF(COV_TRACK[[#This Row],[TEMP  Cº]]&lt;=Database!$N$6,Database!$L$6,IF(COV_TRACK[[#This Row],[TEMP  Cº]]&lt;=Database!$N$7,Database!$L$7,Database!$L$8)))),"")</f>
        <v>Medium Risk</v>
      </c>
      <c r="J20" s="25" t="s">
        <v>279</v>
      </c>
      <c r="K20" s="58" t="s">
        <v>281</v>
      </c>
      <c r="L20" s="59" t="s">
        <v>280</v>
      </c>
      <c r="M20" s="60" t="s">
        <v>282</v>
      </c>
    </row>
    <row r="21" spans="1:13" x14ac:dyDescent="0.2">
      <c r="A21" s="5" t="str">
        <f t="shared" si="0"/>
        <v/>
      </c>
      <c r="B21" s="37">
        <v>43884</v>
      </c>
      <c r="C21" s="40" t="s">
        <v>129</v>
      </c>
      <c r="D21" s="55" t="str">
        <f>IFERROR(IF(COV_TRACK[[#This Row],[Employee Name]]="","",VLOOKUP(COV_TRACK[[#This Row],[Employee Name]],Database!B:F,2,0)),"")</f>
        <v>EMP-00062</v>
      </c>
      <c r="E21" s="72">
        <f>IFERROR(IF(COV_TRACK[[#This Row],[Employee Name]]="","",VLOOKUP(COV_TRACK[[#This Row],[Employee Name]],Database!B:F,3,0)),"")</f>
        <v>29</v>
      </c>
      <c r="F21" s="55" t="str">
        <f>IFERROR(IF(COV_TRACK[[#This Row],[Employee Name]]="","",VLOOKUP(COV_TRACK[[#This Row],[Employee Name]],Database!B:F,4,0)),"")</f>
        <v>M</v>
      </c>
      <c r="G21" s="55" t="str">
        <f>IFERROR(IF(COV_TRACK[[#This Row],[Employee Name]]="","",VLOOKUP(COV_TRACK[[#This Row],[Employee Name]],Database!B:F,5,0)),"")</f>
        <v>Finance</v>
      </c>
      <c r="H21" s="56">
        <v>38</v>
      </c>
      <c r="I21" s="57" t="str">
        <f>IFERROR(IF(COV_TRACK[[#This Row],[TEMP  Cº]]="","",IF(COV_TRACK[[#This Row],[TEMP  Cº]]&lt;=Database!$N$5,Database!$L$5,IF(COV_TRACK[[#This Row],[TEMP  Cº]]&lt;=Database!$N$6,Database!$L$6,IF(COV_TRACK[[#This Row],[TEMP  Cº]]&lt;=Database!$N$7,Database!$L$7,Database!$L$8)))),"")</f>
        <v>Medium Risk</v>
      </c>
      <c r="J21" s="25" t="s">
        <v>279</v>
      </c>
      <c r="K21" s="58" t="s">
        <v>281</v>
      </c>
      <c r="L21" s="59" t="s">
        <v>280</v>
      </c>
      <c r="M21" s="60" t="s">
        <v>282</v>
      </c>
    </row>
    <row r="22" spans="1:13" x14ac:dyDescent="0.2">
      <c r="A22" s="5" t="str">
        <f t="shared" si="0"/>
        <v/>
      </c>
      <c r="B22" s="37">
        <v>44078</v>
      </c>
      <c r="C22" s="40" t="s">
        <v>92</v>
      </c>
      <c r="D22" s="55" t="str">
        <f>IFERROR(IF(COV_TRACK[[#This Row],[Employee Name]]="","",VLOOKUP(COV_TRACK[[#This Row],[Employee Name]],Database!B:F,2,0)),"")</f>
        <v>EMP-00025</v>
      </c>
      <c r="E22" s="72">
        <f>IFERROR(IF(COV_TRACK[[#This Row],[Employee Name]]="","",VLOOKUP(COV_TRACK[[#This Row],[Employee Name]],Database!B:F,3,0)),"")</f>
        <v>29</v>
      </c>
      <c r="F22" s="55" t="str">
        <f>IFERROR(IF(COV_TRACK[[#This Row],[Employee Name]]="","",VLOOKUP(COV_TRACK[[#This Row],[Employee Name]],Database!B:F,4,0)),"")</f>
        <v>M</v>
      </c>
      <c r="G22" s="55" t="str">
        <f>IFERROR(IF(COV_TRACK[[#This Row],[Employee Name]]="","",VLOOKUP(COV_TRACK[[#This Row],[Employee Name]],Database!B:F,5,0)),"")</f>
        <v>Delivery</v>
      </c>
      <c r="H22" s="56">
        <v>37</v>
      </c>
      <c r="I22" s="57" t="str">
        <f>IFERROR(IF(COV_TRACK[[#This Row],[TEMP  Cº]]="","",IF(COV_TRACK[[#This Row],[TEMP  Cº]]&lt;=Database!$N$5,Database!$L$5,IF(COV_TRACK[[#This Row],[TEMP  Cº]]&lt;=Database!$N$6,Database!$L$6,IF(COV_TRACK[[#This Row],[TEMP  Cº]]&lt;=Database!$N$7,Database!$L$7,Database!$L$8)))),"")</f>
        <v>Normal</v>
      </c>
      <c r="J22" s="25" t="s">
        <v>279</v>
      </c>
      <c r="K22" s="58" t="s">
        <v>281</v>
      </c>
      <c r="L22" s="59" t="s">
        <v>280</v>
      </c>
      <c r="M22" s="60" t="s">
        <v>282</v>
      </c>
    </row>
    <row r="23" spans="1:13" x14ac:dyDescent="0.2">
      <c r="A23" s="5" t="str">
        <f t="shared" si="0"/>
        <v/>
      </c>
      <c r="B23" s="37">
        <v>44128</v>
      </c>
      <c r="C23" s="40" t="s">
        <v>39</v>
      </c>
      <c r="D23" s="55" t="str">
        <f>IFERROR(IF(COV_TRACK[[#This Row],[Employee Name]]="","",VLOOKUP(COV_TRACK[[#This Row],[Employee Name]],Database!B:F,2,0)),"")</f>
        <v>EMP-00012</v>
      </c>
      <c r="E23" s="72">
        <f>IFERROR(IF(COV_TRACK[[#This Row],[Employee Name]]="","",VLOOKUP(COV_TRACK[[#This Row],[Employee Name]],Database!B:F,3,0)),"")</f>
        <v>28</v>
      </c>
      <c r="F23" s="55" t="str">
        <f>IFERROR(IF(COV_TRACK[[#This Row],[Employee Name]]="","",VLOOKUP(COV_TRACK[[#This Row],[Employee Name]],Database!B:F,4,0)),"")</f>
        <v>M</v>
      </c>
      <c r="G23" s="55" t="str">
        <f>IFERROR(IF(COV_TRACK[[#This Row],[Employee Name]]="","",VLOOKUP(COV_TRACK[[#This Row],[Employee Name]],Database!B:F,5,0)),"")</f>
        <v>Warehouse</v>
      </c>
      <c r="H23" s="56">
        <v>39</v>
      </c>
      <c r="I23" s="57" t="str">
        <f>IFERROR(IF(COV_TRACK[[#This Row],[TEMP  Cº]]="","",IF(COV_TRACK[[#This Row],[TEMP  Cº]]&lt;=Database!$N$5,Database!$L$5,IF(COV_TRACK[[#This Row],[TEMP  Cº]]&lt;=Database!$N$6,Database!$L$6,IF(COV_TRACK[[#This Row],[TEMP  Cº]]&lt;=Database!$N$7,Database!$L$7,Database!$L$8)))),"")</f>
        <v>High Risk</v>
      </c>
      <c r="J23" s="25" t="s">
        <v>279</v>
      </c>
      <c r="K23" s="58" t="s">
        <v>79</v>
      </c>
      <c r="L23" s="59" t="s">
        <v>279</v>
      </c>
      <c r="M23" s="60" t="s">
        <v>60</v>
      </c>
    </row>
    <row r="24" spans="1:13" x14ac:dyDescent="0.2">
      <c r="A24" s="5" t="str">
        <f t="shared" si="0"/>
        <v/>
      </c>
      <c r="B24" s="37">
        <v>43891</v>
      </c>
      <c r="C24" s="40" t="s">
        <v>130</v>
      </c>
      <c r="D24" s="55" t="str">
        <f>IFERROR(IF(COV_TRACK[[#This Row],[Employee Name]]="","",VLOOKUP(COV_TRACK[[#This Row],[Employee Name]],Database!B:F,2,0)),"")</f>
        <v>EMP-00063</v>
      </c>
      <c r="E24" s="72">
        <f>IFERROR(IF(COV_TRACK[[#This Row],[Employee Name]]="","",VLOOKUP(COV_TRACK[[#This Row],[Employee Name]],Database!B:F,3,0)),"")</f>
        <v>32</v>
      </c>
      <c r="F24" s="55" t="str">
        <f>IFERROR(IF(COV_TRACK[[#This Row],[Employee Name]]="","",VLOOKUP(COV_TRACK[[#This Row],[Employee Name]],Database!B:F,4,0)),"")</f>
        <v>F</v>
      </c>
      <c r="G24" s="55" t="str">
        <f>IFERROR(IF(COV_TRACK[[#This Row],[Employee Name]]="","",VLOOKUP(COV_TRACK[[#This Row],[Employee Name]],Database!B:F,5,0)),"")</f>
        <v>Production</v>
      </c>
      <c r="H24" s="56">
        <v>38</v>
      </c>
      <c r="I24" s="57" t="str">
        <f>IFERROR(IF(COV_TRACK[[#This Row],[TEMP  Cº]]="","",IF(COV_TRACK[[#This Row],[TEMP  Cº]]&lt;=Database!$N$5,Database!$L$5,IF(COV_TRACK[[#This Row],[TEMP  Cº]]&lt;=Database!$N$6,Database!$L$6,IF(COV_TRACK[[#This Row],[TEMP  Cº]]&lt;=Database!$N$7,Database!$L$7,Database!$L$8)))),"")</f>
        <v>Medium Risk</v>
      </c>
      <c r="J24" s="25" t="s">
        <v>279</v>
      </c>
      <c r="K24" s="58" t="s">
        <v>281</v>
      </c>
      <c r="L24" s="59" t="s">
        <v>280</v>
      </c>
      <c r="M24" s="60" t="s">
        <v>282</v>
      </c>
    </row>
    <row r="25" spans="1:13" x14ac:dyDescent="0.2">
      <c r="A25" s="5" t="str">
        <f t="shared" si="0"/>
        <v/>
      </c>
      <c r="B25" s="37">
        <v>44076</v>
      </c>
      <c r="C25" s="40" t="s">
        <v>130</v>
      </c>
      <c r="D25" s="55" t="str">
        <f>IFERROR(IF(COV_TRACK[[#This Row],[Employee Name]]="","",VLOOKUP(COV_TRACK[[#This Row],[Employee Name]],Database!B:F,2,0)),"")</f>
        <v>EMP-00063</v>
      </c>
      <c r="E25" s="72">
        <f>IFERROR(IF(COV_TRACK[[#This Row],[Employee Name]]="","",VLOOKUP(COV_TRACK[[#This Row],[Employee Name]],Database!B:F,3,0)),"")</f>
        <v>32</v>
      </c>
      <c r="F25" s="55" t="str">
        <f>IFERROR(IF(COV_TRACK[[#This Row],[Employee Name]]="","",VLOOKUP(COV_TRACK[[#This Row],[Employee Name]],Database!B:F,4,0)),"")</f>
        <v>F</v>
      </c>
      <c r="G25" s="55" t="str">
        <f>IFERROR(IF(COV_TRACK[[#This Row],[Employee Name]]="","",VLOOKUP(COV_TRACK[[#This Row],[Employee Name]],Database!B:F,5,0)),"")</f>
        <v>Production</v>
      </c>
      <c r="H25" s="56">
        <v>37</v>
      </c>
      <c r="I25" s="57" t="str">
        <f>IFERROR(IF(COV_TRACK[[#This Row],[TEMP  Cº]]="","",IF(COV_TRACK[[#This Row],[TEMP  Cº]]&lt;=Database!$N$5,Database!$L$5,IF(COV_TRACK[[#This Row],[TEMP  Cº]]&lt;=Database!$N$6,Database!$L$6,IF(COV_TRACK[[#This Row],[TEMP  Cº]]&lt;=Database!$N$7,Database!$L$7,Database!$L$8)))),"")</f>
        <v>Normal</v>
      </c>
      <c r="J25" s="25" t="s">
        <v>279</v>
      </c>
      <c r="K25" s="58" t="s">
        <v>281</v>
      </c>
      <c r="L25" s="59" t="s">
        <v>280</v>
      </c>
      <c r="M25" s="60" t="s">
        <v>282</v>
      </c>
    </row>
    <row r="26" spans="1:13" x14ac:dyDescent="0.2">
      <c r="A26" s="5" t="str">
        <f t="shared" si="0"/>
        <v/>
      </c>
      <c r="B26" s="37">
        <v>44162</v>
      </c>
      <c r="C26" s="40" t="s">
        <v>171</v>
      </c>
      <c r="D26" s="55" t="str">
        <f>IFERROR(IF(COV_TRACK[[#This Row],[Employee Name]]="","",VLOOKUP(COV_TRACK[[#This Row],[Employee Name]],Database!B:F,2,0)),"")</f>
        <v>EMP-00104</v>
      </c>
      <c r="E26" s="72">
        <f>IFERROR(IF(COV_TRACK[[#This Row],[Employee Name]]="","",VLOOKUP(COV_TRACK[[#This Row],[Employee Name]],Database!B:F,3,0)),"")</f>
        <v>32</v>
      </c>
      <c r="F26" s="55" t="str">
        <f>IFERROR(IF(COV_TRACK[[#This Row],[Employee Name]]="","",VLOOKUP(COV_TRACK[[#This Row],[Employee Name]],Database!B:F,4,0)),"")</f>
        <v>F</v>
      </c>
      <c r="G26" s="55" t="str">
        <f>IFERROR(IF(COV_TRACK[[#This Row],[Employee Name]]="","",VLOOKUP(COV_TRACK[[#This Row],[Employee Name]],Database!B:F,5,0)),"")</f>
        <v>Production</v>
      </c>
      <c r="H26" s="56">
        <v>37</v>
      </c>
      <c r="I26" s="57" t="str">
        <f>IFERROR(IF(COV_TRACK[[#This Row],[TEMP  Cº]]="","",IF(COV_TRACK[[#This Row],[TEMP  Cº]]&lt;=Database!$N$5,Database!$L$5,IF(COV_TRACK[[#This Row],[TEMP  Cº]]&lt;=Database!$N$6,Database!$L$6,IF(COV_TRACK[[#This Row],[TEMP  Cº]]&lt;=Database!$N$7,Database!$L$7,Database!$L$8)))),"")</f>
        <v>Normal</v>
      </c>
      <c r="J26" s="25" t="s">
        <v>280</v>
      </c>
      <c r="K26" s="58" t="s">
        <v>281</v>
      </c>
      <c r="L26" s="59" t="s">
        <v>280</v>
      </c>
      <c r="M26" s="60" t="s">
        <v>282</v>
      </c>
    </row>
    <row r="27" spans="1:13" x14ac:dyDescent="0.2">
      <c r="A27" s="5" t="str">
        <f t="shared" si="0"/>
        <v/>
      </c>
      <c r="B27" s="37">
        <v>44171</v>
      </c>
      <c r="C27" s="40" t="s">
        <v>150</v>
      </c>
      <c r="D27" s="55" t="str">
        <f>IFERROR(IF(COV_TRACK[[#This Row],[Employee Name]]="","",VLOOKUP(COV_TRACK[[#This Row],[Employee Name]],Database!B:F,2,0)),"")</f>
        <v>EMP-00083</v>
      </c>
      <c r="E27" s="72">
        <f>IFERROR(IF(COV_TRACK[[#This Row],[Employee Name]]="","",VLOOKUP(COV_TRACK[[#This Row],[Employee Name]],Database!B:F,3,0)),"")</f>
        <v>27</v>
      </c>
      <c r="F27" s="55" t="str">
        <f>IFERROR(IF(COV_TRACK[[#This Row],[Employee Name]]="","",VLOOKUP(COV_TRACK[[#This Row],[Employee Name]],Database!B:F,4,0)),"")</f>
        <v>M</v>
      </c>
      <c r="G27" s="55" t="str">
        <f>IFERROR(IF(COV_TRACK[[#This Row],[Employee Name]]="","",VLOOKUP(COV_TRACK[[#This Row],[Employee Name]],Database!B:F,5,0)),"")</f>
        <v>QA</v>
      </c>
      <c r="H27" s="56">
        <v>37</v>
      </c>
      <c r="I27" s="57" t="str">
        <f>IFERROR(IF(COV_TRACK[[#This Row],[TEMP  Cº]]="","",IF(COV_TRACK[[#This Row],[TEMP  Cº]]&lt;=Database!$N$5,Database!$L$5,IF(COV_TRACK[[#This Row],[TEMP  Cº]]&lt;=Database!$N$6,Database!$L$6,IF(COV_TRACK[[#This Row],[TEMP  Cº]]&lt;=Database!$N$7,Database!$L$7,Database!$L$8)))),"")</f>
        <v>Normal</v>
      </c>
      <c r="J27" s="25" t="s">
        <v>279</v>
      </c>
      <c r="K27" s="58" t="s">
        <v>79</v>
      </c>
      <c r="L27" s="59" t="s">
        <v>280</v>
      </c>
      <c r="M27" s="60" t="s">
        <v>59</v>
      </c>
    </row>
    <row r="28" spans="1:13" x14ac:dyDescent="0.2">
      <c r="A28" s="5" t="str">
        <f t="shared" si="0"/>
        <v/>
      </c>
      <c r="B28" s="37">
        <v>43900</v>
      </c>
      <c r="C28" s="40" t="s">
        <v>127</v>
      </c>
      <c r="D28" s="55" t="str">
        <f>IFERROR(IF(COV_TRACK[[#This Row],[Employee Name]]="","",VLOOKUP(COV_TRACK[[#This Row],[Employee Name]],Database!B:F,2,0)),"")</f>
        <v>EMP-00060</v>
      </c>
      <c r="E28" s="72">
        <f>IFERROR(IF(COV_TRACK[[#This Row],[Employee Name]]="","",VLOOKUP(COV_TRACK[[#This Row],[Employee Name]],Database!B:F,3,0)),"")</f>
        <v>38</v>
      </c>
      <c r="F28" s="55" t="str">
        <f>IFERROR(IF(COV_TRACK[[#This Row],[Employee Name]]="","",VLOOKUP(COV_TRACK[[#This Row],[Employee Name]],Database!B:F,4,0)),"")</f>
        <v>F</v>
      </c>
      <c r="G28" s="55" t="str">
        <f>IFERROR(IF(COV_TRACK[[#This Row],[Employee Name]]="","",VLOOKUP(COV_TRACK[[#This Row],[Employee Name]],Database!B:F,5,0)),"")</f>
        <v>Warehouse</v>
      </c>
      <c r="H28" s="56">
        <v>38</v>
      </c>
      <c r="I28" s="57" t="str">
        <f>IFERROR(IF(COV_TRACK[[#This Row],[TEMP  Cº]]="","",IF(COV_TRACK[[#This Row],[TEMP  Cº]]&lt;=Database!$N$5,Database!$L$5,IF(COV_TRACK[[#This Row],[TEMP  Cº]]&lt;=Database!$N$6,Database!$L$6,IF(COV_TRACK[[#This Row],[TEMP  Cº]]&lt;=Database!$N$7,Database!$L$7,Database!$L$8)))),"")</f>
        <v>Medium Risk</v>
      </c>
      <c r="J28" s="25" t="s">
        <v>279</v>
      </c>
      <c r="K28" s="58" t="s">
        <v>281</v>
      </c>
      <c r="L28" s="59" t="s">
        <v>280</v>
      </c>
      <c r="M28" s="60" t="s">
        <v>282</v>
      </c>
    </row>
    <row r="29" spans="1:13" x14ac:dyDescent="0.2">
      <c r="A29" s="5" t="str">
        <f t="shared" si="0"/>
        <v/>
      </c>
      <c r="B29" s="37">
        <v>44183</v>
      </c>
      <c r="C29" s="40" t="s">
        <v>37</v>
      </c>
      <c r="D29" s="55" t="str">
        <f>IFERROR(IF(COV_TRACK[[#This Row],[Employee Name]]="","",VLOOKUP(COV_TRACK[[#This Row],[Employee Name]],Database!B:F,2,0)),"")</f>
        <v>EMP-00010</v>
      </c>
      <c r="E29" s="72">
        <f>IFERROR(IF(COV_TRACK[[#This Row],[Employee Name]]="","",VLOOKUP(COV_TRACK[[#This Row],[Employee Name]],Database!B:F,3,0)),"")</f>
        <v>38</v>
      </c>
      <c r="F29" s="55" t="str">
        <f>IFERROR(IF(COV_TRACK[[#This Row],[Employee Name]]="","",VLOOKUP(COV_TRACK[[#This Row],[Employee Name]],Database!B:F,4,0)),"")</f>
        <v>M</v>
      </c>
      <c r="G29" s="55" t="str">
        <f>IFERROR(IF(COV_TRACK[[#This Row],[Employee Name]]="","",VLOOKUP(COV_TRACK[[#This Row],[Employee Name]],Database!B:F,5,0)),"")</f>
        <v>QA</v>
      </c>
      <c r="H29" s="56">
        <v>37</v>
      </c>
      <c r="I29" s="57" t="str">
        <f>IFERROR(IF(COV_TRACK[[#This Row],[TEMP  Cº]]="","",IF(COV_TRACK[[#This Row],[TEMP  Cº]]&lt;=Database!$N$5,Database!$L$5,IF(COV_TRACK[[#This Row],[TEMP  Cº]]&lt;=Database!$N$6,Database!$L$6,IF(COV_TRACK[[#This Row],[TEMP  Cº]]&lt;=Database!$N$7,Database!$L$7,Database!$L$8)))),"")</f>
        <v>Normal</v>
      </c>
      <c r="J29" s="25" t="s">
        <v>279</v>
      </c>
      <c r="K29" s="58" t="s">
        <v>281</v>
      </c>
      <c r="L29" s="59" t="s">
        <v>280</v>
      </c>
      <c r="M29" s="60" t="s">
        <v>282</v>
      </c>
    </row>
    <row r="30" spans="1:13" x14ac:dyDescent="0.2">
      <c r="A30" s="5" t="str">
        <f t="shared" si="0"/>
        <v/>
      </c>
      <c r="B30" s="37">
        <v>44184</v>
      </c>
      <c r="C30" s="40" t="s">
        <v>34</v>
      </c>
      <c r="D30" s="55" t="str">
        <f>IFERROR(IF(COV_TRACK[[#This Row],[Employee Name]]="","",VLOOKUP(COV_TRACK[[#This Row],[Employee Name]],Database!B:F,2,0)),"")</f>
        <v>EMP-00007</v>
      </c>
      <c r="E30" s="72">
        <f>IFERROR(IF(COV_TRACK[[#This Row],[Employee Name]]="","",VLOOKUP(COV_TRACK[[#This Row],[Employee Name]],Database!B:F,3,0)),"")</f>
        <v>31</v>
      </c>
      <c r="F30" s="55" t="str">
        <f>IFERROR(IF(COV_TRACK[[#This Row],[Employee Name]]="","",VLOOKUP(COV_TRACK[[#This Row],[Employee Name]],Database!B:F,4,0)),"")</f>
        <v>M</v>
      </c>
      <c r="G30" s="55" t="str">
        <f>IFERROR(IF(COV_TRACK[[#This Row],[Employee Name]]="","",VLOOKUP(COV_TRACK[[#This Row],[Employee Name]],Database!B:F,5,0)),"")</f>
        <v>HR</v>
      </c>
      <c r="H30" s="56">
        <v>38</v>
      </c>
      <c r="I30" s="57" t="str">
        <f>IFERROR(IF(COV_TRACK[[#This Row],[TEMP  Cº]]="","",IF(COV_TRACK[[#This Row],[TEMP  Cº]]&lt;=Database!$N$5,Database!$L$5,IF(COV_TRACK[[#This Row],[TEMP  Cº]]&lt;=Database!$N$6,Database!$L$6,IF(COV_TRACK[[#This Row],[TEMP  Cº]]&lt;=Database!$N$7,Database!$L$7,Database!$L$8)))),"")</f>
        <v>Medium Risk</v>
      </c>
      <c r="J30" s="25" t="s">
        <v>279</v>
      </c>
      <c r="K30" s="58" t="s">
        <v>281</v>
      </c>
      <c r="L30" s="59" t="s">
        <v>280</v>
      </c>
      <c r="M30" s="60" t="s">
        <v>282</v>
      </c>
    </row>
    <row r="31" spans="1:13" x14ac:dyDescent="0.2">
      <c r="A31" s="5" t="str">
        <f t="shared" si="0"/>
        <v/>
      </c>
      <c r="B31" s="37">
        <v>44019</v>
      </c>
      <c r="C31" s="40" t="s">
        <v>152</v>
      </c>
      <c r="D31" s="55" t="str">
        <f>IFERROR(IF(COV_TRACK[[#This Row],[Employee Name]]="","",VLOOKUP(COV_TRACK[[#This Row],[Employee Name]],Database!B:F,2,0)),"")</f>
        <v>EMP-00085</v>
      </c>
      <c r="E31" s="72">
        <f>IFERROR(IF(COV_TRACK[[#This Row],[Employee Name]]="","",VLOOKUP(COV_TRACK[[#This Row],[Employee Name]],Database!B:F,3,0)),"")</f>
        <v>37</v>
      </c>
      <c r="F31" s="55" t="str">
        <f>IFERROR(IF(COV_TRACK[[#This Row],[Employee Name]]="","",VLOOKUP(COV_TRACK[[#This Row],[Employee Name]],Database!B:F,4,0)),"")</f>
        <v>F</v>
      </c>
      <c r="G31" s="55" t="str">
        <f>IFERROR(IF(COV_TRACK[[#This Row],[Employee Name]]="","",VLOOKUP(COV_TRACK[[#This Row],[Employee Name]],Database!B:F,5,0)),"")</f>
        <v>Warehouse</v>
      </c>
      <c r="H31" s="56">
        <v>37</v>
      </c>
      <c r="I31" s="57" t="str">
        <f>IFERROR(IF(COV_TRACK[[#This Row],[TEMP  Cº]]="","",IF(COV_TRACK[[#This Row],[TEMP  Cº]]&lt;=Database!$N$5,Database!$L$5,IF(COV_TRACK[[#This Row],[TEMP  Cº]]&lt;=Database!$N$6,Database!$L$6,IF(COV_TRACK[[#This Row],[TEMP  Cº]]&lt;=Database!$N$7,Database!$L$7,Database!$L$8)))),"")</f>
        <v>Normal</v>
      </c>
      <c r="J31" s="25" t="s">
        <v>279</v>
      </c>
      <c r="K31" s="58" t="s">
        <v>281</v>
      </c>
      <c r="L31" s="59" t="s">
        <v>280</v>
      </c>
      <c r="M31" s="60" t="s">
        <v>282</v>
      </c>
    </row>
    <row r="32" spans="1:13" x14ac:dyDescent="0.2">
      <c r="A32" s="5" t="str">
        <f t="shared" si="0"/>
        <v/>
      </c>
      <c r="B32" s="37">
        <v>44018</v>
      </c>
      <c r="C32" s="40" t="s">
        <v>32</v>
      </c>
      <c r="D32" s="55" t="str">
        <f>IFERROR(IF(COV_TRACK[[#This Row],[Employee Name]]="","",VLOOKUP(COV_TRACK[[#This Row],[Employee Name]],Database!B:F,2,0)),"")</f>
        <v>EMP-00005</v>
      </c>
      <c r="E32" s="72">
        <f>IFERROR(IF(COV_TRACK[[#This Row],[Employee Name]]="","",VLOOKUP(COV_TRACK[[#This Row],[Employee Name]],Database!B:F,3,0)),"")</f>
        <v>36</v>
      </c>
      <c r="F32" s="55" t="str">
        <f>IFERROR(IF(COV_TRACK[[#This Row],[Employee Name]]="","",VLOOKUP(COV_TRACK[[#This Row],[Employee Name]],Database!B:F,4,0)),"")</f>
        <v>M</v>
      </c>
      <c r="G32" s="55" t="str">
        <f>IFERROR(IF(COV_TRACK[[#This Row],[Employee Name]]="","",VLOOKUP(COV_TRACK[[#This Row],[Employee Name]],Database!B:F,5,0)),"")</f>
        <v>Finance</v>
      </c>
      <c r="H32" s="56">
        <v>38</v>
      </c>
      <c r="I32" s="57" t="str">
        <f>IFERROR(IF(COV_TRACK[[#This Row],[TEMP  Cº]]="","",IF(COV_TRACK[[#This Row],[TEMP  Cº]]&lt;=Database!$N$5,Database!$L$5,IF(COV_TRACK[[#This Row],[TEMP  Cº]]&lt;=Database!$N$6,Database!$L$6,IF(COV_TRACK[[#This Row],[TEMP  Cº]]&lt;=Database!$N$7,Database!$L$7,Database!$L$8)))),"")</f>
        <v>Medium Risk</v>
      </c>
      <c r="J32" s="25" t="s">
        <v>279</v>
      </c>
      <c r="K32" s="58" t="s">
        <v>281</v>
      </c>
      <c r="L32" s="59" t="s">
        <v>280</v>
      </c>
      <c r="M32" s="60" t="s">
        <v>282</v>
      </c>
    </row>
    <row r="33" spans="1:13" x14ac:dyDescent="0.2">
      <c r="A33" s="5" t="str">
        <f t="shared" si="0"/>
        <v/>
      </c>
      <c r="B33" s="37">
        <v>43932</v>
      </c>
      <c r="C33" s="40" t="s">
        <v>41</v>
      </c>
      <c r="D33" s="55" t="str">
        <f>IFERROR(IF(COV_TRACK[[#This Row],[Employee Name]]="","",VLOOKUP(COV_TRACK[[#This Row],[Employee Name]],Database!B:F,2,0)),"")</f>
        <v>EMP-00014</v>
      </c>
      <c r="E33" s="72">
        <f>IFERROR(IF(COV_TRACK[[#This Row],[Employee Name]]="","",VLOOKUP(COV_TRACK[[#This Row],[Employee Name]],Database!B:F,3,0)),"")</f>
        <v>28</v>
      </c>
      <c r="F33" s="55" t="str">
        <f>IFERROR(IF(COV_TRACK[[#This Row],[Employee Name]]="","",VLOOKUP(COV_TRACK[[#This Row],[Employee Name]],Database!B:F,4,0)),"")</f>
        <v>M</v>
      </c>
      <c r="G33" s="55" t="str">
        <f>IFERROR(IF(COV_TRACK[[#This Row],[Employee Name]]="","",VLOOKUP(COV_TRACK[[#This Row],[Employee Name]],Database!B:F,5,0)),"")</f>
        <v>HR</v>
      </c>
      <c r="H33" s="56">
        <v>38</v>
      </c>
      <c r="I33" s="57" t="str">
        <f>IFERROR(IF(COV_TRACK[[#This Row],[TEMP  Cº]]="","",IF(COV_TRACK[[#This Row],[TEMP  Cº]]&lt;=Database!$N$5,Database!$L$5,IF(COV_TRACK[[#This Row],[TEMP  Cº]]&lt;=Database!$N$6,Database!$L$6,IF(COV_TRACK[[#This Row],[TEMP  Cº]]&lt;=Database!$N$7,Database!$L$7,Database!$L$8)))),"")</f>
        <v>Medium Risk</v>
      </c>
      <c r="J33" s="25" t="s">
        <v>280</v>
      </c>
      <c r="K33" s="58" t="s">
        <v>281</v>
      </c>
      <c r="L33" s="59" t="s">
        <v>280</v>
      </c>
      <c r="M33" s="60" t="s">
        <v>282</v>
      </c>
    </row>
    <row r="34" spans="1:13" x14ac:dyDescent="0.2">
      <c r="A34" s="5" t="str">
        <f t="shared" si="0"/>
        <v/>
      </c>
      <c r="B34" s="37">
        <v>43852</v>
      </c>
      <c r="C34" s="40" t="s">
        <v>162</v>
      </c>
      <c r="D34" s="55" t="str">
        <f>IFERROR(IF(COV_TRACK[[#This Row],[Employee Name]]="","",VLOOKUP(COV_TRACK[[#This Row],[Employee Name]],Database!B:F,2,0)),"")</f>
        <v>EMP-00095</v>
      </c>
      <c r="E34" s="72">
        <f>IFERROR(IF(COV_TRACK[[#This Row],[Employee Name]]="","",VLOOKUP(COV_TRACK[[#This Row],[Employee Name]],Database!B:F,3,0)),"")</f>
        <v>38</v>
      </c>
      <c r="F34" s="55" t="str">
        <f>IFERROR(IF(COV_TRACK[[#This Row],[Employee Name]]="","",VLOOKUP(COV_TRACK[[#This Row],[Employee Name]],Database!B:F,4,0)),"")</f>
        <v>M</v>
      </c>
      <c r="G34" s="55" t="str">
        <f>IFERROR(IF(COV_TRACK[[#This Row],[Employee Name]]="","",VLOOKUP(COV_TRACK[[#This Row],[Employee Name]],Database!B:F,5,0)),"")</f>
        <v>Production</v>
      </c>
      <c r="H34" s="56">
        <v>37</v>
      </c>
      <c r="I34" s="57" t="str">
        <f>IFERROR(IF(COV_TRACK[[#This Row],[TEMP  Cº]]="","",IF(COV_TRACK[[#This Row],[TEMP  Cº]]&lt;=Database!$N$5,Database!$L$5,IF(COV_TRACK[[#This Row],[TEMP  Cº]]&lt;=Database!$N$6,Database!$L$6,IF(COV_TRACK[[#This Row],[TEMP  Cº]]&lt;=Database!$N$7,Database!$L$7,Database!$L$8)))),"")</f>
        <v>Normal</v>
      </c>
      <c r="J34" s="25" t="s">
        <v>279</v>
      </c>
      <c r="K34" s="58" t="s">
        <v>281</v>
      </c>
      <c r="L34" s="59" t="s">
        <v>280</v>
      </c>
      <c r="M34" s="60" t="s">
        <v>282</v>
      </c>
    </row>
    <row r="35" spans="1:13" x14ac:dyDescent="0.2">
      <c r="A35" s="5" t="str">
        <f t="shared" si="0"/>
        <v/>
      </c>
      <c r="B35" s="37">
        <v>44189</v>
      </c>
      <c r="C35" s="40" t="s">
        <v>123</v>
      </c>
      <c r="D35" s="55" t="str">
        <f>IFERROR(IF(COV_TRACK[[#This Row],[Employee Name]]="","",VLOOKUP(COV_TRACK[[#This Row],[Employee Name]],Database!B:F,2,0)),"")</f>
        <v>EMP-00056</v>
      </c>
      <c r="E35" s="72">
        <f>IFERROR(IF(COV_TRACK[[#This Row],[Employee Name]]="","",VLOOKUP(COV_TRACK[[#This Row],[Employee Name]],Database!B:F,3,0)),"")</f>
        <v>36</v>
      </c>
      <c r="F35" s="55" t="str">
        <f>IFERROR(IF(COV_TRACK[[#This Row],[Employee Name]]="","",VLOOKUP(COV_TRACK[[#This Row],[Employee Name]],Database!B:F,4,0)),"")</f>
        <v>M</v>
      </c>
      <c r="G35" s="55" t="str">
        <f>IFERROR(IF(COV_TRACK[[#This Row],[Employee Name]]="","",VLOOKUP(COV_TRACK[[#This Row],[Employee Name]],Database!B:F,5,0)),"")</f>
        <v>Planning</v>
      </c>
      <c r="H35" s="56">
        <v>37</v>
      </c>
      <c r="I35" s="57" t="str">
        <f>IFERROR(IF(COV_TRACK[[#This Row],[TEMP  Cº]]="","",IF(COV_TRACK[[#This Row],[TEMP  Cº]]&lt;=Database!$N$5,Database!$L$5,IF(COV_TRACK[[#This Row],[TEMP  Cº]]&lt;=Database!$N$6,Database!$L$6,IF(COV_TRACK[[#This Row],[TEMP  Cº]]&lt;=Database!$N$7,Database!$L$7,Database!$L$8)))),"")</f>
        <v>Normal</v>
      </c>
      <c r="J35" s="25" t="s">
        <v>279</v>
      </c>
      <c r="K35" s="58" t="s">
        <v>281</v>
      </c>
      <c r="L35" s="59" t="s">
        <v>280</v>
      </c>
      <c r="M35" s="60" t="s">
        <v>282</v>
      </c>
    </row>
    <row r="36" spans="1:13" x14ac:dyDescent="0.2">
      <c r="A36" s="5" t="str">
        <f t="shared" si="0"/>
        <v/>
      </c>
      <c r="B36" s="37">
        <v>44122</v>
      </c>
      <c r="C36" s="40" t="s">
        <v>127</v>
      </c>
      <c r="D36" s="55" t="str">
        <f>IFERROR(IF(COV_TRACK[[#This Row],[Employee Name]]="","",VLOOKUP(COV_TRACK[[#This Row],[Employee Name]],Database!B:F,2,0)),"")</f>
        <v>EMP-00060</v>
      </c>
      <c r="E36" s="72">
        <f>IFERROR(IF(COV_TRACK[[#This Row],[Employee Name]]="","",VLOOKUP(COV_TRACK[[#This Row],[Employee Name]],Database!B:F,3,0)),"")</f>
        <v>38</v>
      </c>
      <c r="F36" s="55" t="str">
        <f>IFERROR(IF(COV_TRACK[[#This Row],[Employee Name]]="","",VLOOKUP(COV_TRACK[[#This Row],[Employee Name]],Database!B:F,4,0)),"")</f>
        <v>F</v>
      </c>
      <c r="G36" s="55" t="str">
        <f>IFERROR(IF(COV_TRACK[[#This Row],[Employee Name]]="","",VLOOKUP(COV_TRACK[[#This Row],[Employee Name]],Database!B:F,5,0)),"")</f>
        <v>Warehouse</v>
      </c>
      <c r="H36" s="56">
        <v>37</v>
      </c>
      <c r="I36" s="57" t="str">
        <f>IFERROR(IF(COV_TRACK[[#This Row],[TEMP  Cº]]="","",IF(COV_TRACK[[#This Row],[TEMP  Cº]]&lt;=Database!$N$5,Database!$L$5,IF(COV_TRACK[[#This Row],[TEMP  Cº]]&lt;=Database!$N$6,Database!$L$6,IF(COV_TRACK[[#This Row],[TEMP  Cº]]&lt;=Database!$N$7,Database!$L$7,Database!$L$8)))),"")</f>
        <v>Normal</v>
      </c>
      <c r="J36" s="25" t="s">
        <v>279</v>
      </c>
      <c r="K36" s="58" t="s">
        <v>281</v>
      </c>
      <c r="L36" s="59" t="s">
        <v>280</v>
      </c>
      <c r="M36" s="60" t="s">
        <v>282</v>
      </c>
    </row>
    <row r="37" spans="1:13" x14ac:dyDescent="0.2">
      <c r="A37" s="5" t="str">
        <f t="shared" si="0"/>
        <v/>
      </c>
      <c r="B37" s="37">
        <v>44157</v>
      </c>
      <c r="C37" s="40" t="s">
        <v>84</v>
      </c>
      <c r="D37" s="55" t="str">
        <f>IFERROR(IF(COV_TRACK[[#This Row],[Employee Name]]="","",VLOOKUP(COV_TRACK[[#This Row],[Employee Name]],Database!B:F,2,0)),"")</f>
        <v>EMP-00017</v>
      </c>
      <c r="E37" s="72">
        <f>IFERROR(IF(COV_TRACK[[#This Row],[Employee Name]]="","",VLOOKUP(COV_TRACK[[#This Row],[Employee Name]],Database!B:F,3,0)),"")</f>
        <v>27</v>
      </c>
      <c r="F37" s="55" t="str">
        <f>IFERROR(IF(COV_TRACK[[#This Row],[Employee Name]]="","",VLOOKUP(COV_TRACK[[#This Row],[Employee Name]],Database!B:F,4,0)),"")</f>
        <v>F</v>
      </c>
      <c r="G37" s="55" t="str">
        <f>IFERROR(IF(COV_TRACK[[#This Row],[Employee Name]]="","",VLOOKUP(COV_TRACK[[#This Row],[Employee Name]],Database!B:F,5,0)),"")</f>
        <v>QA</v>
      </c>
      <c r="H37" s="56">
        <v>37</v>
      </c>
      <c r="I37" s="57" t="str">
        <f>IFERROR(IF(COV_TRACK[[#This Row],[TEMP  Cº]]="","",IF(COV_TRACK[[#This Row],[TEMP  Cº]]&lt;=Database!$N$5,Database!$L$5,IF(COV_TRACK[[#This Row],[TEMP  Cº]]&lt;=Database!$N$6,Database!$L$6,IF(COV_TRACK[[#This Row],[TEMP  Cº]]&lt;=Database!$N$7,Database!$L$7,Database!$L$8)))),"")</f>
        <v>Normal</v>
      </c>
      <c r="J37" s="25" t="s">
        <v>280</v>
      </c>
      <c r="K37" s="58" t="s">
        <v>281</v>
      </c>
      <c r="L37" s="59" t="s">
        <v>280</v>
      </c>
      <c r="M37" s="60" t="s">
        <v>282</v>
      </c>
    </row>
    <row r="38" spans="1:13" x14ac:dyDescent="0.2">
      <c r="A38" s="5" t="str">
        <f t="shared" si="0"/>
        <v/>
      </c>
      <c r="B38" s="37">
        <v>44185</v>
      </c>
      <c r="C38" s="40" t="s">
        <v>97</v>
      </c>
      <c r="D38" s="55" t="str">
        <f>IFERROR(IF(COV_TRACK[[#This Row],[Employee Name]]="","",VLOOKUP(COV_TRACK[[#This Row],[Employee Name]],Database!B:F,2,0)),"")</f>
        <v>EMP-00030</v>
      </c>
      <c r="E38" s="72">
        <f>IFERROR(IF(COV_TRACK[[#This Row],[Employee Name]]="","",VLOOKUP(COV_TRACK[[#This Row],[Employee Name]],Database!B:F,3,0)),"")</f>
        <v>38</v>
      </c>
      <c r="F38" s="55" t="str">
        <f>IFERROR(IF(COV_TRACK[[#This Row],[Employee Name]]="","",VLOOKUP(COV_TRACK[[#This Row],[Employee Name]],Database!B:F,4,0)),"")</f>
        <v>M</v>
      </c>
      <c r="G38" s="55" t="str">
        <f>IFERROR(IF(COV_TRACK[[#This Row],[Employee Name]]="","",VLOOKUP(COV_TRACK[[#This Row],[Employee Name]],Database!B:F,5,0)),"")</f>
        <v>QA</v>
      </c>
      <c r="H38" s="56">
        <v>37</v>
      </c>
      <c r="I38" s="57" t="str">
        <f>IFERROR(IF(COV_TRACK[[#This Row],[TEMP  Cº]]="","",IF(COV_TRACK[[#This Row],[TEMP  Cº]]&lt;=Database!$N$5,Database!$L$5,IF(COV_TRACK[[#This Row],[TEMP  Cº]]&lt;=Database!$N$6,Database!$L$6,IF(COV_TRACK[[#This Row],[TEMP  Cº]]&lt;=Database!$N$7,Database!$L$7,Database!$L$8)))),"")</f>
        <v>Normal</v>
      </c>
      <c r="J38" s="25" t="s">
        <v>279</v>
      </c>
      <c r="K38" s="58" t="s">
        <v>281</v>
      </c>
      <c r="L38" s="59" t="s">
        <v>280</v>
      </c>
      <c r="M38" s="60" t="s">
        <v>282</v>
      </c>
    </row>
    <row r="39" spans="1:13" x14ac:dyDescent="0.2">
      <c r="A39" s="5" t="str">
        <f t="shared" si="0"/>
        <v/>
      </c>
      <c r="B39" s="37">
        <v>44009</v>
      </c>
      <c r="C39" s="40" t="s">
        <v>124</v>
      </c>
      <c r="D39" s="55" t="str">
        <f>IFERROR(IF(COV_TRACK[[#This Row],[Employee Name]]="","",VLOOKUP(COV_TRACK[[#This Row],[Employee Name]],Database!B:F,2,0)),"")</f>
        <v>EMP-00057</v>
      </c>
      <c r="E39" s="72">
        <f>IFERROR(IF(COV_TRACK[[#This Row],[Employee Name]]="","",VLOOKUP(COV_TRACK[[#This Row],[Employee Name]],Database!B:F,3,0)),"")</f>
        <v>37</v>
      </c>
      <c r="F39" s="55" t="str">
        <f>IFERROR(IF(COV_TRACK[[#This Row],[Employee Name]]="","",VLOOKUP(COV_TRACK[[#This Row],[Employee Name]],Database!B:F,4,0)),"")</f>
        <v>M</v>
      </c>
      <c r="G39" s="55" t="str">
        <f>IFERROR(IF(COV_TRACK[[#This Row],[Employee Name]]="","",VLOOKUP(COV_TRACK[[#This Row],[Employee Name]],Database!B:F,5,0)),"")</f>
        <v>Purchasing</v>
      </c>
      <c r="H39" s="56">
        <v>38</v>
      </c>
      <c r="I39" s="57" t="str">
        <f>IFERROR(IF(COV_TRACK[[#This Row],[TEMP  Cº]]="","",IF(COV_TRACK[[#This Row],[TEMP  Cº]]&lt;=Database!$N$5,Database!$L$5,IF(COV_TRACK[[#This Row],[TEMP  Cº]]&lt;=Database!$N$6,Database!$L$6,IF(COV_TRACK[[#This Row],[TEMP  Cº]]&lt;=Database!$N$7,Database!$L$7,Database!$L$8)))),"")</f>
        <v>Medium Risk</v>
      </c>
      <c r="J39" s="25" t="s">
        <v>279</v>
      </c>
      <c r="K39" s="58" t="s">
        <v>281</v>
      </c>
      <c r="L39" s="59" t="s">
        <v>280</v>
      </c>
      <c r="M39" s="60" t="s">
        <v>282</v>
      </c>
    </row>
    <row r="40" spans="1:13" x14ac:dyDescent="0.2">
      <c r="A40" s="5" t="str">
        <f t="shared" si="0"/>
        <v/>
      </c>
      <c r="B40" s="37">
        <v>43919</v>
      </c>
      <c r="C40" s="40" t="s">
        <v>122</v>
      </c>
      <c r="D40" s="55" t="str">
        <f>IFERROR(IF(COV_TRACK[[#This Row],[Employee Name]]="","",VLOOKUP(COV_TRACK[[#This Row],[Employee Name]],Database!B:F,2,0)),"")</f>
        <v>EMP-00055</v>
      </c>
      <c r="E40" s="72">
        <f>IFERROR(IF(COV_TRACK[[#This Row],[Employee Name]]="","",VLOOKUP(COV_TRACK[[#This Row],[Employee Name]],Database!B:F,3,0)),"")</f>
        <v>36</v>
      </c>
      <c r="F40" s="55" t="str">
        <f>IFERROR(IF(COV_TRACK[[#This Row],[Employee Name]]="","",VLOOKUP(COV_TRACK[[#This Row],[Employee Name]],Database!B:F,4,0)),"")</f>
        <v>F</v>
      </c>
      <c r="G40" s="55" t="str">
        <f>IFERROR(IF(COV_TRACK[[#This Row],[Employee Name]]="","",VLOOKUP(COV_TRACK[[#This Row],[Employee Name]],Database!B:F,5,0)),"")</f>
        <v>HR</v>
      </c>
      <c r="H40" s="56">
        <v>37</v>
      </c>
      <c r="I40" s="57" t="str">
        <f>IFERROR(IF(COV_TRACK[[#This Row],[TEMP  Cº]]="","",IF(COV_TRACK[[#This Row],[TEMP  Cº]]&lt;=Database!$N$5,Database!$L$5,IF(COV_TRACK[[#This Row],[TEMP  Cº]]&lt;=Database!$N$6,Database!$L$6,IF(COV_TRACK[[#This Row],[TEMP  Cº]]&lt;=Database!$N$7,Database!$L$7,Database!$L$8)))),"")</f>
        <v>Normal</v>
      </c>
      <c r="J40" s="25" t="s">
        <v>279</v>
      </c>
      <c r="K40" s="58" t="s">
        <v>281</v>
      </c>
      <c r="L40" s="59" t="s">
        <v>280</v>
      </c>
      <c r="M40" s="60" t="s">
        <v>282</v>
      </c>
    </row>
    <row r="41" spans="1:13" x14ac:dyDescent="0.2">
      <c r="A41" s="5" t="str">
        <f t="shared" si="0"/>
        <v/>
      </c>
      <c r="B41" s="37">
        <v>43891</v>
      </c>
      <c r="C41" s="40" t="s">
        <v>162</v>
      </c>
      <c r="D41" s="55" t="str">
        <f>IFERROR(IF(COV_TRACK[[#This Row],[Employee Name]]="","",VLOOKUP(COV_TRACK[[#This Row],[Employee Name]],Database!B:F,2,0)),"")</f>
        <v>EMP-00095</v>
      </c>
      <c r="E41" s="72">
        <f>IFERROR(IF(COV_TRACK[[#This Row],[Employee Name]]="","",VLOOKUP(COV_TRACK[[#This Row],[Employee Name]],Database!B:F,3,0)),"")</f>
        <v>38</v>
      </c>
      <c r="F41" s="55" t="str">
        <f>IFERROR(IF(COV_TRACK[[#This Row],[Employee Name]]="","",VLOOKUP(COV_TRACK[[#This Row],[Employee Name]],Database!B:F,4,0)),"")</f>
        <v>M</v>
      </c>
      <c r="G41" s="55" t="str">
        <f>IFERROR(IF(COV_TRACK[[#This Row],[Employee Name]]="","",VLOOKUP(COV_TRACK[[#This Row],[Employee Name]],Database!B:F,5,0)),"")</f>
        <v>Production</v>
      </c>
      <c r="H41" s="56">
        <v>37</v>
      </c>
      <c r="I41" s="57" t="str">
        <f>IFERROR(IF(COV_TRACK[[#This Row],[TEMP  Cº]]="","",IF(COV_TRACK[[#This Row],[TEMP  Cº]]&lt;=Database!$N$5,Database!$L$5,IF(COV_TRACK[[#This Row],[TEMP  Cº]]&lt;=Database!$N$6,Database!$L$6,IF(COV_TRACK[[#This Row],[TEMP  Cº]]&lt;=Database!$N$7,Database!$L$7,Database!$L$8)))),"")</f>
        <v>Normal</v>
      </c>
      <c r="J41" s="25" t="s">
        <v>279</v>
      </c>
      <c r="K41" s="58" t="s">
        <v>281</v>
      </c>
      <c r="L41" s="59" t="s">
        <v>280</v>
      </c>
      <c r="M41" s="60" t="s">
        <v>282</v>
      </c>
    </row>
    <row r="42" spans="1:13" x14ac:dyDescent="0.2">
      <c r="A42" s="5" t="str">
        <f t="shared" si="0"/>
        <v/>
      </c>
      <c r="B42" s="37">
        <v>43990</v>
      </c>
      <c r="C42" s="40" t="s">
        <v>168</v>
      </c>
      <c r="D42" s="55" t="str">
        <f>IFERROR(IF(COV_TRACK[[#This Row],[Employee Name]]="","",VLOOKUP(COV_TRACK[[#This Row],[Employee Name]],Database!B:F,2,0)),"")</f>
        <v>EMP-00101</v>
      </c>
      <c r="E42" s="72">
        <f>IFERROR(IF(COV_TRACK[[#This Row],[Employee Name]]="","",VLOOKUP(COV_TRACK[[#This Row],[Employee Name]],Database!B:F,3,0)),"")</f>
        <v>36</v>
      </c>
      <c r="F42" s="55" t="str">
        <f>IFERROR(IF(COV_TRACK[[#This Row],[Employee Name]]="","",VLOOKUP(COV_TRACK[[#This Row],[Employee Name]],Database!B:F,4,0)),"")</f>
        <v>M</v>
      </c>
      <c r="G42" s="55" t="str">
        <f>IFERROR(IF(COV_TRACK[[#This Row],[Employee Name]]="","",VLOOKUP(COV_TRACK[[#This Row],[Employee Name]],Database!B:F,5,0)),"")</f>
        <v>Planning</v>
      </c>
      <c r="H42" s="56">
        <v>40</v>
      </c>
      <c r="I42" s="57" t="str">
        <f>IFERROR(IF(COV_TRACK[[#This Row],[TEMP  Cº]]="","",IF(COV_TRACK[[#This Row],[TEMP  Cº]]&lt;=Database!$N$5,Database!$L$5,IF(COV_TRACK[[#This Row],[TEMP  Cº]]&lt;=Database!$N$6,Database!$L$6,IF(COV_TRACK[[#This Row],[TEMP  Cº]]&lt;=Database!$N$7,Database!$L$7,Database!$L$8)))),"")</f>
        <v>Very High Risk</v>
      </c>
      <c r="J42" s="25" t="s">
        <v>279</v>
      </c>
      <c r="K42" s="58" t="s">
        <v>79</v>
      </c>
      <c r="L42" s="59" t="s">
        <v>279</v>
      </c>
      <c r="M42" s="60" t="s">
        <v>282</v>
      </c>
    </row>
    <row r="43" spans="1:13" x14ac:dyDescent="0.2">
      <c r="A43" s="5" t="str">
        <f t="shared" si="0"/>
        <v/>
      </c>
      <c r="B43" s="37">
        <v>44048</v>
      </c>
      <c r="C43" s="40" t="s">
        <v>103</v>
      </c>
      <c r="D43" s="55" t="str">
        <f>IFERROR(IF(COV_TRACK[[#This Row],[Employee Name]]="","",VLOOKUP(COV_TRACK[[#This Row],[Employee Name]],Database!B:F,2,0)),"")</f>
        <v>EMP-00036</v>
      </c>
      <c r="E43" s="72">
        <f>IFERROR(IF(COV_TRACK[[#This Row],[Employee Name]]="","",VLOOKUP(COV_TRACK[[#This Row],[Employee Name]],Database!B:F,3,0)),"")</f>
        <v>38</v>
      </c>
      <c r="F43" s="55" t="str">
        <f>IFERROR(IF(COV_TRACK[[#This Row],[Employee Name]]="","",VLOOKUP(COV_TRACK[[#This Row],[Employee Name]],Database!B:F,4,0)),"")</f>
        <v>F</v>
      </c>
      <c r="G43" s="55" t="str">
        <f>IFERROR(IF(COV_TRACK[[#This Row],[Employee Name]]="","",VLOOKUP(COV_TRACK[[#This Row],[Employee Name]],Database!B:F,5,0)),"")</f>
        <v>Planning</v>
      </c>
      <c r="H43" s="56">
        <v>37</v>
      </c>
      <c r="I43" s="57" t="str">
        <f>IFERROR(IF(COV_TRACK[[#This Row],[TEMP  Cº]]="","",IF(COV_TRACK[[#This Row],[TEMP  Cº]]&lt;=Database!$N$5,Database!$L$5,IF(COV_TRACK[[#This Row],[TEMP  Cº]]&lt;=Database!$N$6,Database!$L$6,IF(COV_TRACK[[#This Row],[TEMP  Cº]]&lt;=Database!$N$7,Database!$L$7,Database!$L$8)))),"")</f>
        <v>Normal</v>
      </c>
      <c r="J43" s="25" t="s">
        <v>279</v>
      </c>
      <c r="K43" s="58" t="s">
        <v>281</v>
      </c>
      <c r="L43" s="59" t="s">
        <v>280</v>
      </c>
      <c r="M43" s="60" t="s">
        <v>282</v>
      </c>
    </row>
    <row r="44" spans="1:13" x14ac:dyDescent="0.2">
      <c r="A44" s="5" t="str">
        <f t="shared" si="0"/>
        <v/>
      </c>
      <c r="B44" s="37">
        <v>44068</v>
      </c>
      <c r="C44" s="40" t="s">
        <v>88</v>
      </c>
      <c r="D44" s="55" t="str">
        <f>IFERROR(IF(COV_TRACK[[#This Row],[Employee Name]]="","",VLOOKUP(COV_TRACK[[#This Row],[Employee Name]],Database!B:F,2,0)),"")</f>
        <v>EMP-00021</v>
      </c>
      <c r="E44" s="72">
        <f>IFERROR(IF(COV_TRACK[[#This Row],[Employee Name]]="","",VLOOKUP(COV_TRACK[[#This Row],[Employee Name]],Database!B:F,3,0)),"")</f>
        <v>28</v>
      </c>
      <c r="F44" s="55" t="str">
        <f>IFERROR(IF(COV_TRACK[[#This Row],[Employee Name]]="","",VLOOKUP(COV_TRACK[[#This Row],[Employee Name]],Database!B:F,4,0)),"")</f>
        <v>F</v>
      </c>
      <c r="G44" s="55" t="str">
        <f>IFERROR(IF(COV_TRACK[[#This Row],[Employee Name]]="","",VLOOKUP(COV_TRACK[[#This Row],[Employee Name]],Database!B:F,5,0)),"")</f>
        <v>HR</v>
      </c>
      <c r="H44" s="56">
        <v>37</v>
      </c>
      <c r="I44" s="57" t="str">
        <f>IFERROR(IF(COV_TRACK[[#This Row],[TEMP  Cº]]="","",IF(COV_TRACK[[#This Row],[TEMP  Cº]]&lt;=Database!$N$5,Database!$L$5,IF(COV_TRACK[[#This Row],[TEMP  Cº]]&lt;=Database!$N$6,Database!$L$6,IF(COV_TRACK[[#This Row],[TEMP  Cº]]&lt;=Database!$N$7,Database!$L$7,Database!$L$8)))),"")</f>
        <v>Normal</v>
      </c>
      <c r="J44" s="25" t="s">
        <v>279</v>
      </c>
      <c r="K44" s="58" t="s">
        <v>281</v>
      </c>
      <c r="L44" s="59" t="s">
        <v>279</v>
      </c>
      <c r="M44" s="60" t="s">
        <v>282</v>
      </c>
    </row>
    <row r="45" spans="1:13" x14ac:dyDescent="0.2">
      <c r="A45" s="5" t="str">
        <f t="shared" si="0"/>
        <v/>
      </c>
      <c r="B45" s="37">
        <v>44047</v>
      </c>
      <c r="C45" s="40" t="s">
        <v>98</v>
      </c>
      <c r="D45" s="55" t="str">
        <f>IFERROR(IF(COV_TRACK[[#This Row],[Employee Name]]="","",VLOOKUP(COV_TRACK[[#This Row],[Employee Name]],Database!B:F,2,0)),"")</f>
        <v>EMP-00031</v>
      </c>
      <c r="E45" s="72">
        <f>IFERROR(IF(COV_TRACK[[#This Row],[Employee Name]]="","",VLOOKUP(COV_TRACK[[#This Row],[Employee Name]],Database!B:F,3,0)),"")</f>
        <v>31</v>
      </c>
      <c r="F45" s="55" t="str">
        <f>IFERROR(IF(COV_TRACK[[#This Row],[Employee Name]]="","",VLOOKUP(COV_TRACK[[#This Row],[Employee Name]],Database!B:F,4,0)),"")</f>
        <v>F</v>
      </c>
      <c r="G45" s="55" t="str">
        <f>IFERROR(IF(COV_TRACK[[#This Row],[Employee Name]]="","",VLOOKUP(COV_TRACK[[#This Row],[Employee Name]],Database!B:F,5,0)),"")</f>
        <v>Purchasing</v>
      </c>
      <c r="H45" s="56">
        <v>37</v>
      </c>
      <c r="I45" s="57" t="str">
        <f>IFERROR(IF(COV_TRACK[[#This Row],[TEMP  Cº]]="","",IF(COV_TRACK[[#This Row],[TEMP  Cº]]&lt;=Database!$N$5,Database!$L$5,IF(COV_TRACK[[#This Row],[TEMP  Cº]]&lt;=Database!$N$6,Database!$L$6,IF(COV_TRACK[[#This Row],[TEMP  Cº]]&lt;=Database!$N$7,Database!$L$7,Database!$L$8)))),"")</f>
        <v>Normal</v>
      </c>
      <c r="J45" s="25" t="s">
        <v>279</v>
      </c>
      <c r="K45" s="58" t="s">
        <v>281</v>
      </c>
      <c r="L45" s="59" t="s">
        <v>280</v>
      </c>
      <c r="M45" s="60" t="s">
        <v>282</v>
      </c>
    </row>
    <row r="46" spans="1:13" x14ac:dyDescent="0.2">
      <c r="A46" s="5" t="str">
        <f t="shared" si="0"/>
        <v/>
      </c>
      <c r="B46" s="37">
        <v>44091</v>
      </c>
      <c r="C46" s="40" t="s">
        <v>162</v>
      </c>
      <c r="D46" s="55" t="str">
        <f>IFERROR(IF(COV_TRACK[[#This Row],[Employee Name]]="","",VLOOKUP(COV_TRACK[[#This Row],[Employee Name]],Database!B:F,2,0)),"")</f>
        <v>EMP-00095</v>
      </c>
      <c r="E46" s="72">
        <f>IFERROR(IF(COV_TRACK[[#This Row],[Employee Name]]="","",VLOOKUP(COV_TRACK[[#This Row],[Employee Name]],Database!B:F,3,0)),"")</f>
        <v>38</v>
      </c>
      <c r="F46" s="55" t="str">
        <f>IFERROR(IF(COV_TRACK[[#This Row],[Employee Name]]="","",VLOOKUP(COV_TRACK[[#This Row],[Employee Name]],Database!B:F,4,0)),"")</f>
        <v>M</v>
      </c>
      <c r="G46" s="55" t="str">
        <f>IFERROR(IF(COV_TRACK[[#This Row],[Employee Name]]="","",VLOOKUP(COV_TRACK[[#This Row],[Employee Name]],Database!B:F,5,0)),"")</f>
        <v>Production</v>
      </c>
      <c r="H46" s="56">
        <v>37</v>
      </c>
      <c r="I46" s="57" t="str">
        <f>IFERROR(IF(COV_TRACK[[#This Row],[TEMP  Cº]]="","",IF(COV_TRACK[[#This Row],[TEMP  Cº]]&lt;=Database!$N$5,Database!$L$5,IF(COV_TRACK[[#This Row],[TEMP  Cº]]&lt;=Database!$N$6,Database!$L$6,IF(COV_TRACK[[#This Row],[TEMP  Cº]]&lt;=Database!$N$7,Database!$L$7,Database!$L$8)))),"")</f>
        <v>Normal</v>
      </c>
      <c r="J46" s="25" t="s">
        <v>279</v>
      </c>
      <c r="K46" s="58" t="s">
        <v>79</v>
      </c>
      <c r="L46" s="59" t="s">
        <v>280</v>
      </c>
      <c r="M46" s="60" t="s">
        <v>282</v>
      </c>
    </row>
    <row r="47" spans="1:13" x14ac:dyDescent="0.2">
      <c r="A47" s="5" t="str">
        <f t="shared" si="0"/>
        <v/>
      </c>
      <c r="B47" s="37">
        <v>44117</v>
      </c>
      <c r="C47" s="40" t="s">
        <v>109</v>
      </c>
      <c r="D47" s="55" t="str">
        <f>IFERROR(IF(COV_TRACK[[#This Row],[Employee Name]]="","",VLOOKUP(COV_TRACK[[#This Row],[Employee Name]],Database!B:F,2,0)),"")</f>
        <v>EMP-00042</v>
      </c>
      <c r="E47" s="72">
        <f>IFERROR(IF(COV_TRACK[[#This Row],[Employee Name]]="","",VLOOKUP(COV_TRACK[[#This Row],[Employee Name]],Database!B:F,3,0)),"")</f>
        <v>25</v>
      </c>
      <c r="F47" s="55" t="str">
        <f>IFERROR(IF(COV_TRACK[[#This Row],[Employee Name]]="","",VLOOKUP(COV_TRACK[[#This Row],[Employee Name]],Database!B:F,4,0)),"")</f>
        <v>M</v>
      </c>
      <c r="G47" s="55" t="str">
        <f>IFERROR(IF(COV_TRACK[[#This Row],[Employee Name]]="","",VLOOKUP(COV_TRACK[[#This Row],[Employee Name]],Database!B:F,5,0)),"")</f>
        <v>Purchasing</v>
      </c>
      <c r="H47" s="56">
        <v>37</v>
      </c>
      <c r="I47" s="57" t="str">
        <f>IFERROR(IF(COV_TRACK[[#This Row],[TEMP  Cº]]="","",IF(COV_TRACK[[#This Row],[TEMP  Cº]]&lt;=Database!$N$5,Database!$L$5,IF(COV_TRACK[[#This Row],[TEMP  Cº]]&lt;=Database!$N$6,Database!$L$6,IF(COV_TRACK[[#This Row],[TEMP  Cº]]&lt;=Database!$N$7,Database!$L$7,Database!$L$8)))),"")</f>
        <v>Normal</v>
      </c>
      <c r="J47" s="25" t="s">
        <v>279</v>
      </c>
      <c r="K47" s="58" t="s">
        <v>281</v>
      </c>
      <c r="L47" s="59" t="s">
        <v>280</v>
      </c>
      <c r="M47" s="60" t="s">
        <v>282</v>
      </c>
    </row>
    <row r="48" spans="1:13" x14ac:dyDescent="0.2">
      <c r="A48" s="5" t="str">
        <f t="shared" si="0"/>
        <v/>
      </c>
      <c r="B48" s="37">
        <v>43928</v>
      </c>
      <c r="C48" s="40" t="s">
        <v>127</v>
      </c>
      <c r="D48" s="55" t="str">
        <f>IFERROR(IF(COV_TRACK[[#This Row],[Employee Name]]="","",VLOOKUP(COV_TRACK[[#This Row],[Employee Name]],Database!B:F,2,0)),"")</f>
        <v>EMP-00060</v>
      </c>
      <c r="E48" s="72">
        <f>IFERROR(IF(COV_TRACK[[#This Row],[Employee Name]]="","",VLOOKUP(COV_TRACK[[#This Row],[Employee Name]],Database!B:F,3,0)),"")</f>
        <v>38</v>
      </c>
      <c r="F48" s="55" t="str">
        <f>IFERROR(IF(COV_TRACK[[#This Row],[Employee Name]]="","",VLOOKUP(COV_TRACK[[#This Row],[Employee Name]],Database!B:F,4,0)),"")</f>
        <v>F</v>
      </c>
      <c r="G48" s="55" t="str">
        <f>IFERROR(IF(COV_TRACK[[#This Row],[Employee Name]]="","",VLOOKUP(COV_TRACK[[#This Row],[Employee Name]],Database!B:F,5,0)),"")</f>
        <v>Warehouse</v>
      </c>
      <c r="H48" s="56">
        <v>37</v>
      </c>
      <c r="I48" s="57" t="str">
        <f>IFERROR(IF(COV_TRACK[[#This Row],[TEMP  Cº]]="","",IF(COV_TRACK[[#This Row],[TEMP  Cº]]&lt;=Database!$N$5,Database!$L$5,IF(COV_TRACK[[#This Row],[TEMP  Cº]]&lt;=Database!$N$6,Database!$L$6,IF(COV_TRACK[[#This Row],[TEMP  Cº]]&lt;=Database!$N$7,Database!$L$7,Database!$L$8)))),"")</f>
        <v>Normal</v>
      </c>
      <c r="J48" s="25" t="s">
        <v>279</v>
      </c>
      <c r="K48" s="58" t="s">
        <v>281</v>
      </c>
      <c r="L48" s="59" t="s">
        <v>280</v>
      </c>
      <c r="M48" s="60" t="s">
        <v>282</v>
      </c>
    </row>
    <row r="49" spans="1:13" x14ac:dyDescent="0.2">
      <c r="A49" s="5" t="str">
        <f t="shared" si="0"/>
        <v/>
      </c>
      <c r="B49" s="37">
        <v>44002</v>
      </c>
      <c r="C49" s="40" t="s">
        <v>108</v>
      </c>
      <c r="D49" s="55" t="str">
        <f>IFERROR(IF(COV_TRACK[[#This Row],[Employee Name]]="","",VLOOKUP(COV_TRACK[[#This Row],[Employee Name]],Database!B:F,2,0)),"")</f>
        <v>EMP-00041</v>
      </c>
      <c r="E49" s="72">
        <f>IFERROR(IF(COV_TRACK[[#This Row],[Employee Name]]="","",VLOOKUP(COV_TRACK[[#This Row],[Employee Name]],Database!B:F,3,0)),"")</f>
        <v>29</v>
      </c>
      <c r="F49" s="55" t="str">
        <f>IFERROR(IF(COV_TRACK[[#This Row],[Employee Name]]="","",VLOOKUP(COV_TRACK[[#This Row],[Employee Name]],Database!B:F,4,0)),"")</f>
        <v>M</v>
      </c>
      <c r="G49" s="55" t="str">
        <f>IFERROR(IF(COV_TRACK[[#This Row],[Employee Name]]="","",VLOOKUP(COV_TRACK[[#This Row],[Employee Name]],Database!B:F,5,0)),"")</f>
        <v>HR</v>
      </c>
      <c r="H49" s="56">
        <v>38</v>
      </c>
      <c r="I49" s="57" t="str">
        <f>IFERROR(IF(COV_TRACK[[#This Row],[TEMP  Cº]]="","",IF(COV_TRACK[[#This Row],[TEMP  Cº]]&lt;=Database!$N$5,Database!$L$5,IF(COV_TRACK[[#This Row],[TEMP  Cº]]&lt;=Database!$N$6,Database!$L$6,IF(COV_TRACK[[#This Row],[TEMP  Cº]]&lt;=Database!$N$7,Database!$L$7,Database!$L$8)))),"")</f>
        <v>Medium Risk</v>
      </c>
      <c r="J49" s="25" t="s">
        <v>279</v>
      </c>
      <c r="K49" s="58" t="s">
        <v>281</v>
      </c>
      <c r="L49" s="59" t="s">
        <v>280</v>
      </c>
      <c r="M49" s="60" t="s">
        <v>282</v>
      </c>
    </row>
    <row r="50" spans="1:13" x14ac:dyDescent="0.2">
      <c r="A50" s="5" t="str">
        <f t="shared" si="0"/>
        <v/>
      </c>
      <c r="B50" s="37">
        <v>44123</v>
      </c>
      <c r="C50" s="40" t="s">
        <v>136</v>
      </c>
      <c r="D50" s="55" t="str">
        <f>IFERROR(IF(COV_TRACK[[#This Row],[Employee Name]]="","",VLOOKUP(COV_TRACK[[#This Row],[Employee Name]],Database!B:F,2,0)),"")</f>
        <v>EMP-00069</v>
      </c>
      <c r="E50" s="72">
        <f>IFERROR(IF(COV_TRACK[[#This Row],[Employee Name]]="","",VLOOKUP(COV_TRACK[[#This Row],[Employee Name]],Database!B:F,3,0)),"")</f>
        <v>38</v>
      </c>
      <c r="F50" s="55" t="str">
        <f>IFERROR(IF(COV_TRACK[[#This Row],[Employee Name]]="","",VLOOKUP(COV_TRACK[[#This Row],[Employee Name]],Database!B:F,4,0)),"")</f>
        <v>M</v>
      </c>
      <c r="G50" s="55" t="str">
        <f>IFERROR(IF(COV_TRACK[[#This Row],[Employee Name]]="","",VLOOKUP(COV_TRACK[[#This Row],[Employee Name]],Database!B:F,5,0)),"")</f>
        <v>Production</v>
      </c>
      <c r="H50" s="56">
        <v>37</v>
      </c>
      <c r="I50" s="57" t="str">
        <f>IFERROR(IF(COV_TRACK[[#This Row],[TEMP  Cº]]="","",IF(COV_TRACK[[#This Row],[TEMP  Cº]]&lt;=Database!$N$5,Database!$L$5,IF(COV_TRACK[[#This Row],[TEMP  Cº]]&lt;=Database!$N$6,Database!$L$6,IF(COV_TRACK[[#This Row],[TEMP  Cº]]&lt;=Database!$N$7,Database!$L$7,Database!$L$8)))),"")</f>
        <v>Normal</v>
      </c>
      <c r="J50" s="25" t="s">
        <v>279</v>
      </c>
      <c r="K50" s="58" t="s">
        <v>79</v>
      </c>
      <c r="L50" s="59" t="s">
        <v>280</v>
      </c>
      <c r="M50" s="60" t="s">
        <v>282</v>
      </c>
    </row>
    <row r="51" spans="1:13" x14ac:dyDescent="0.2">
      <c r="A51" s="5" t="str">
        <f t="shared" si="0"/>
        <v/>
      </c>
      <c r="B51" s="37">
        <v>44133</v>
      </c>
      <c r="C51" s="40" t="s">
        <v>90</v>
      </c>
      <c r="D51" s="55" t="str">
        <f>IFERROR(IF(COV_TRACK[[#This Row],[Employee Name]]="","",VLOOKUP(COV_TRACK[[#This Row],[Employee Name]],Database!B:F,2,0)),"")</f>
        <v>EMP-00023</v>
      </c>
      <c r="E51" s="72">
        <f>IFERROR(IF(COV_TRACK[[#This Row],[Employee Name]]="","",VLOOKUP(COV_TRACK[[#This Row],[Employee Name]],Database!B:F,3,0)),"")</f>
        <v>32</v>
      </c>
      <c r="F51" s="55" t="str">
        <f>IFERROR(IF(COV_TRACK[[#This Row],[Employee Name]]="","",VLOOKUP(COV_TRACK[[#This Row],[Employee Name]],Database!B:F,4,0)),"")</f>
        <v>F</v>
      </c>
      <c r="G51" s="55" t="str">
        <f>IFERROR(IF(COV_TRACK[[#This Row],[Employee Name]]="","",VLOOKUP(COV_TRACK[[#This Row],[Employee Name]],Database!B:F,5,0)),"")</f>
        <v>Warehouse</v>
      </c>
      <c r="H51" s="56">
        <v>37</v>
      </c>
      <c r="I51" s="57" t="str">
        <f>IFERROR(IF(COV_TRACK[[#This Row],[TEMP  Cº]]="","",IF(COV_TRACK[[#This Row],[TEMP  Cº]]&lt;=Database!$N$5,Database!$L$5,IF(COV_TRACK[[#This Row],[TEMP  Cº]]&lt;=Database!$N$6,Database!$L$6,IF(COV_TRACK[[#This Row],[TEMP  Cº]]&lt;=Database!$N$7,Database!$L$7,Database!$L$8)))),"")</f>
        <v>Normal</v>
      </c>
      <c r="J51" s="25" t="s">
        <v>279</v>
      </c>
      <c r="K51" s="58" t="s">
        <v>281</v>
      </c>
      <c r="L51" s="59" t="s">
        <v>280</v>
      </c>
      <c r="M51" s="60" t="s">
        <v>282</v>
      </c>
    </row>
    <row r="52" spans="1:13" x14ac:dyDescent="0.2">
      <c r="A52" s="5" t="str">
        <f t="shared" si="0"/>
        <v/>
      </c>
      <c r="B52" s="37">
        <v>44032</v>
      </c>
      <c r="C52" s="40" t="s">
        <v>96</v>
      </c>
      <c r="D52" s="55" t="str">
        <f>IFERROR(IF(COV_TRACK[[#This Row],[Employee Name]]="","",VLOOKUP(COV_TRACK[[#This Row],[Employee Name]],Database!B:F,2,0)),"")</f>
        <v>EMP-00029</v>
      </c>
      <c r="E52" s="72">
        <f>IFERROR(IF(COV_TRACK[[#This Row],[Employee Name]]="","",VLOOKUP(COV_TRACK[[#This Row],[Employee Name]],Database!B:F,3,0)),"")</f>
        <v>37</v>
      </c>
      <c r="F52" s="55" t="str">
        <f>IFERROR(IF(COV_TRACK[[#This Row],[Employee Name]]="","",VLOOKUP(COV_TRACK[[#This Row],[Employee Name]],Database!B:F,4,0)),"")</f>
        <v>M</v>
      </c>
      <c r="G52" s="55" t="str">
        <f>IFERROR(IF(COV_TRACK[[#This Row],[Employee Name]]="","",VLOOKUP(COV_TRACK[[#This Row],[Employee Name]],Database!B:F,5,0)),"")</f>
        <v>Warehouse</v>
      </c>
      <c r="H52" s="56">
        <v>39</v>
      </c>
      <c r="I52" s="57" t="str">
        <f>IFERROR(IF(COV_TRACK[[#This Row],[TEMP  Cº]]="","",IF(COV_TRACK[[#This Row],[TEMP  Cº]]&lt;=Database!$N$5,Database!$L$5,IF(COV_TRACK[[#This Row],[TEMP  Cº]]&lt;=Database!$N$6,Database!$L$6,IF(COV_TRACK[[#This Row],[TEMP  Cº]]&lt;=Database!$N$7,Database!$L$7,Database!$L$8)))),"")</f>
        <v>High Risk</v>
      </c>
      <c r="J52" s="25" t="s">
        <v>279</v>
      </c>
      <c r="K52" s="58" t="s">
        <v>79</v>
      </c>
      <c r="L52" s="59" t="s">
        <v>280</v>
      </c>
      <c r="M52" s="60" t="s">
        <v>282</v>
      </c>
    </row>
    <row r="53" spans="1:13" x14ac:dyDescent="0.2">
      <c r="A53" s="5" t="str">
        <f t="shared" si="0"/>
        <v/>
      </c>
      <c r="B53" s="37">
        <v>44027</v>
      </c>
      <c r="C53" s="40" t="s">
        <v>160</v>
      </c>
      <c r="D53" s="55" t="str">
        <f>IFERROR(IF(COV_TRACK[[#This Row],[Employee Name]]="","",VLOOKUP(COV_TRACK[[#This Row],[Employee Name]],Database!B:F,2,0)),"")</f>
        <v>EMP-00093</v>
      </c>
      <c r="E53" s="72">
        <f>IFERROR(IF(COV_TRACK[[#This Row],[Employee Name]]="","",VLOOKUP(COV_TRACK[[#This Row],[Employee Name]],Database!B:F,3,0)),"")</f>
        <v>38</v>
      </c>
      <c r="F53" s="55" t="str">
        <f>IFERROR(IF(COV_TRACK[[#This Row],[Employee Name]]="","",VLOOKUP(COV_TRACK[[#This Row],[Employee Name]],Database!B:F,4,0)),"")</f>
        <v>M</v>
      </c>
      <c r="G53" s="55" t="str">
        <f>IFERROR(IF(COV_TRACK[[#This Row],[Employee Name]]="","",VLOOKUP(COV_TRACK[[#This Row],[Employee Name]],Database!B:F,5,0)),"")</f>
        <v>Purchasing</v>
      </c>
      <c r="H53" s="56">
        <v>37</v>
      </c>
      <c r="I53" s="57" t="str">
        <f>IFERROR(IF(COV_TRACK[[#This Row],[TEMP  Cº]]="","",IF(COV_TRACK[[#This Row],[TEMP  Cº]]&lt;=Database!$N$5,Database!$L$5,IF(COV_TRACK[[#This Row],[TEMP  Cº]]&lt;=Database!$N$6,Database!$L$6,IF(COV_TRACK[[#This Row],[TEMP  Cº]]&lt;=Database!$N$7,Database!$L$7,Database!$L$8)))),"")</f>
        <v>Normal</v>
      </c>
      <c r="J53" s="25" t="s">
        <v>279</v>
      </c>
      <c r="K53" s="58" t="s">
        <v>281</v>
      </c>
      <c r="L53" s="59" t="s">
        <v>280</v>
      </c>
      <c r="M53" s="60" t="s">
        <v>282</v>
      </c>
    </row>
    <row r="54" spans="1:13" x14ac:dyDescent="0.2">
      <c r="A54" s="5" t="str">
        <f t="shared" si="0"/>
        <v/>
      </c>
      <c r="B54" s="37">
        <v>44111</v>
      </c>
      <c r="C54" s="40" t="s">
        <v>160</v>
      </c>
      <c r="D54" s="55" t="str">
        <f>IFERROR(IF(COV_TRACK[[#This Row],[Employee Name]]="","",VLOOKUP(COV_TRACK[[#This Row],[Employee Name]],Database!B:F,2,0)),"")</f>
        <v>EMP-00093</v>
      </c>
      <c r="E54" s="72">
        <f>IFERROR(IF(COV_TRACK[[#This Row],[Employee Name]]="","",VLOOKUP(COV_TRACK[[#This Row],[Employee Name]],Database!B:F,3,0)),"")</f>
        <v>38</v>
      </c>
      <c r="F54" s="55" t="str">
        <f>IFERROR(IF(COV_TRACK[[#This Row],[Employee Name]]="","",VLOOKUP(COV_TRACK[[#This Row],[Employee Name]],Database!B:F,4,0)),"")</f>
        <v>M</v>
      </c>
      <c r="G54" s="55" t="str">
        <f>IFERROR(IF(COV_TRACK[[#This Row],[Employee Name]]="","",VLOOKUP(COV_TRACK[[#This Row],[Employee Name]],Database!B:F,5,0)),"")</f>
        <v>Purchasing</v>
      </c>
      <c r="H54" s="56">
        <v>37</v>
      </c>
      <c r="I54" s="57" t="str">
        <f>IFERROR(IF(COV_TRACK[[#This Row],[TEMP  Cº]]="","",IF(COV_TRACK[[#This Row],[TEMP  Cº]]&lt;=Database!$N$5,Database!$L$5,IF(COV_TRACK[[#This Row],[TEMP  Cº]]&lt;=Database!$N$6,Database!$L$6,IF(COV_TRACK[[#This Row],[TEMP  Cº]]&lt;=Database!$N$7,Database!$L$7,Database!$L$8)))),"")</f>
        <v>Normal</v>
      </c>
      <c r="J54" s="25" t="s">
        <v>279</v>
      </c>
      <c r="K54" s="58" t="s">
        <v>281</v>
      </c>
      <c r="L54" s="59" t="s">
        <v>280</v>
      </c>
      <c r="M54" s="60" t="s">
        <v>282</v>
      </c>
    </row>
    <row r="55" spans="1:13" x14ac:dyDescent="0.2">
      <c r="A55" s="5" t="str">
        <f t="shared" si="0"/>
        <v/>
      </c>
      <c r="B55" s="37">
        <v>44115</v>
      </c>
      <c r="C55" s="40" t="s">
        <v>114</v>
      </c>
      <c r="D55" s="55" t="str">
        <f>IFERROR(IF(COV_TRACK[[#This Row],[Employee Name]]="","",VLOOKUP(COV_TRACK[[#This Row],[Employee Name]],Database!B:F,2,0)),"")</f>
        <v>EMP-00047</v>
      </c>
      <c r="E55" s="72">
        <f>IFERROR(IF(COV_TRACK[[#This Row],[Employee Name]]="","",VLOOKUP(COV_TRACK[[#This Row],[Employee Name]],Database!B:F,3,0)),"")</f>
        <v>34</v>
      </c>
      <c r="F55" s="55" t="str">
        <f>IFERROR(IF(COV_TRACK[[#This Row],[Employee Name]]="","",VLOOKUP(COV_TRACK[[#This Row],[Employee Name]],Database!B:F,4,0)),"")</f>
        <v>F</v>
      </c>
      <c r="G55" s="55" t="str">
        <f>IFERROR(IF(COV_TRACK[[#This Row],[Employee Name]]="","",VLOOKUP(COV_TRACK[[#This Row],[Employee Name]],Database!B:F,5,0)),"")</f>
        <v>HR</v>
      </c>
      <c r="H55" s="56">
        <v>37</v>
      </c>
      <c r="I55" s="57" t="str">
        <f>IFERROR(IF(COV_TRACK[[#This Row],[TEMP  Cº]]="","",IF(COV_TRACK[[#This Row],[TEMP  Cº]]&lt;=Database!$N$5,Database!$L$5,IF(COV_TRACK[[#This Row],[TEMP  Cº]]&lt;=Database!$N$6,Database!$L$6,IF(COV_TRACK[[#This Row],[TEMP  Cº]]&lt;=Database!$N$7,Database!$L$7,Database!$L$8)))),"")</f>
        <v>Normal</v>
      </c>
      <c r="J55" s="25" t="s">
        <v>280</v>
      </c>
      <c r="K55" s="58" t="s">
        <v>281</v>
      </c>
      <c r="L55" s="59" t="s">
        <v>280</v>
      </c>
      <c r="M55" s="60" t="s">
        <v>282</v>
      </c>
    </row>
    <row r="56" spans="1:13" x14ac:dyDescent="0.2">
      <c r="A56" s="5" t="str">
        <f t="shared" si="0"/>
        <v/>
      </c>
      <c r="B56" s="37">
        <v>44008</v>
      </c>
      <c r="C56" s="40" t="s">
        <v>85</v>
      </c>
      <c r="D56" s="55" t="str">
        <f>IFERROR(IF(COV_TRACK[[#This Row],[Employee Name]]="","",VLOOKUP(COV_TRACK[[#This Row],[Employee Name]],Database!B:F,2,0)),"")</f>
        <v>EMP-00018</v>
      </c>
      <c r="E56" s="72">
        <f>IFERROR(IF(COV_TRACK[[#This Row],[Employee Name]]="","",VLOOKUP(COV_TRACK[[#This Row],[Employee Name]],Database!B:F,3,0)),"")</f>
        <v>29</v>
      </c>
      <c r="F56" s="55" t="str">
        <f>IFERROR(IF(COV_TRACK[[#This Row],[Employee Name]]="","",VLOOKUP(COV_TRACK[[#This Row],[Employee Name]],Database!B:F,4,0)),"")</f>
        <v>M</v>
      </c>
      <c r="G56" s="55" t="str">
        <f>IFERROR(IF(COV_TRACK[[#This Row],[Employee Name]]="","",VLOOKUP(COV_TRACK[[#This Row],[Employee Name]],Database!B:F,5,0)),"")</f>
        <v>Purchasing</v>
      </c>
      <c r="H56" s="56">
        <v>38</v>
      </c>
      <c r="I56" s="57" t="str">
        <f>IFERROR(IF(COV_TRACK[[#This Row],[TEMP  Cº]]="","",IF(COV_TRACK[[#This Row],[TEMP  Cº]]&lt;=Database!$N$5,Database!$L$5,IF(COV_TRACK[[#This Row],[TEMP  Cº]]&lt;=Database!$N$6,Database!$L$6,IF(COV_TRACK[[#This Row],[TEMP  Cº]]&lt;=Database!$N$7,Database!$L$7,Database!$L$8)))),"")</f>
        <v>Medium Risk</v>
      </c>
      <c r="J56" s="25" t="s">
        <v>279</v>
      </c>
      <c r="K56" s="58" t="s">
        <v>281</v>
      </c>
      <c r="L56" s="59" t="s">
        <v>280</v>
      </c>
      <c r="M56" s="60" t="s">
        <v>282</v>
      </c>
    </row>
    <row r="57" spans="1:13" x14ac:dyDescent="0.2">
      <c r="A57" s="5" t="str">
        <f t="shared" si="0"/>
        <v/>
      </c>
      <c r="B57" s="37">
        <v>44149</v>
      </c>
      <c r="C57" s="40" t="s">
        <v>169</v>
      </c>
      <c r="D57" s="55" t="str">
        <f>IFERROR(IF(COV_TRACK[[#This Row],[Employee Name]]="","",VLOOKUP(COV_TRACK[[#This Row],[Employee Name]],Database!B:F,2,0)),"")</f>
        <v>EMP-00102</v>
      </c>
      <c r="E57" s="72">
        <f>IFERROR(IF(COV_TRACK[[#This Row],[Employee Name]]="","",VLOOKUP(COV_TRACK[[#This Row],[Employee Name]],Database!B:F,3,0)),"")</f>
        <v>26</v>
      </c>
      <c r="F57" s="55" t="str">
        <f>IFERROR(IF(COV_TRACK[[#This Row],[Employee Name]]="","",VLOOKUP(COV_TRACK[[#This Row],[Employee Name]],Database!B:F,4,0)),"")</f>
        <v>F</v>
      </c>
      <c r="G57" s="55" t="str">
        <f>IFERROR(IF(COV_TRACK[[#This Row],[Employee Name]]="","",VLOOKUP(COV_TRACK[[#This Row],[Employee Name]],Database!B:F,5,0)),"")</f>
        <v>Warehouse</v>
      </c>
      <c r="H57" s="56">
        <v>37</v>
      </c>
      <c r="I57" s="57" t="str">
        <f>IFERROR(IF(COV_TRACK[[#This Row],[TEMP  Cº]]="","",IF(COV_TRACK[[#This Row],[TEMP  Cº]]&lt;=Database!$N$5,Database!$L$5,IF(COV_TRACK[[#This Row],[TEMP  Cº]]&lt;=Database!$N$6,Database!$L$6,IF(COV_TRACK[[#This Row],[TEMP  Cº]]&lt;=Database!$N$7,Database!$L$7,Database!$L$8)))),"")</f>
        <v>Normal</v>
      </c>
      <c r="J57" s="25" t="s">
        <v>279</v>
      </c>
      <c r="K57" s="58" t="s">
        <v>281</v>
      </c>
      <c r="L57" s="59" t="s">
        <v>280</v>
      </c>
      <c r="M57" s="60" t="s">
        <v>282</v>
      </c>
    </row>
    <row r="58" spans="1:13" x14ac:dyDescent="0.2">
      <c r="A58" s="5" t="str">
        <f t="shared" si="0"/>
        <v/>
      </c>
      <c r="B58" s="37">
        <v>44061</v>
      </c>
      <c r="C58" s="40" t="s">
        <v>88</v>
      </c>
      <c r="D58" s="55" t="str">
        <f>IFERROR(IF(COV_TRACK[[#This Row],[Employee Name]]="","",VLOOKUP(COV_TRACK[[#This Row],[Employee Name]],Database!B:F,2,0)),"")</f>
        <v>EMP-00021</v>
      </c>
      <c r="E58" s="72">
        <f>IFERROR(IF(COV_TRACK[[#This Row],[Employee Name]]="","",VLOOKUP(COV_TRACK[[#This Row],[Employee Name]],Database!B:F,3,0)),"")</f>
        <v>28</v>
      </c>
      <c r="F58" s="55" t="str">
        <f>IFERROR(IF(COV_TRACK[[#This Row],[Employee Name]]="","",VLOOKUP(COV_TRACK[[#This Row],[Employee Name]],Database!B:F,4,0)),"")</f>
        <v>F</v>
      </c>
      <c r="G58" s="55" t="str">
        <f>IFERROR(IF(COV_TRACK[[#This Row],[Employee Name]]="","",VLOOKUP(COV_TRACK[[#This Row],[Employee Name]],Database!B:F,5,0)),"")</f>
        <v>HR</v>
      </c>
      <c r="H58" s="56">
        <v>38</v>
      </c>
      <c r="I58" s="57" t="str">
        <f>IFERROR(IF(COV_TRACK[[#This Row],[TEMP  Cº]]="","",IF(COV_TRACK[[#This Row],[TEMP  Cº]]&lt;=Database!$N$5,Database!$L$5,IF(COV_TRACK[[#This Row],[TEMP  Cº]]&lt;=Database!$N$6,Database!$L$6,IF(COV_TRACK[[#This Row],[TEMP  Cº]]&lt;=Database!$N$7,Database!$L$7,Database!$L$8)))),"")</f>
        <v>Medium Risk</v>
      </c>
      <c r="J58" s="25" t="s">
        <v>279</v>
      </c>
      <c r="K58" s="58" t="s">
        <v>281</v>
      </c>
      <c r="L58" s="59" t="s">
        <v>280</v>
      </c>
      <c r="M58" s="60" t="s">
        <v>282</v>
      </c>
    </row>
    <row r="59" spans="1:13" x14ac:dyDescent="0.2">
      <c r="A59" s="5" t="str">
        <f t="shared" si="0"/>
        <v/>
      </c>
      <c r="B59" s="37">
        <v>43908</v>
      </c>
      <c r="C59" s="40" t="s">
        <v>156</v>
      </c>
      <c r="D59" s="55" t="str">
        <f>IFERROR(IF(COV_TRACK[[#This Row],[Employee Name]]="","",VLOOKUP(COV_TRACK[[#This Row],[Employee Name]],Database!B:F,2,0)),"")</f>
        <v>EMP-00089</v>
      </c>
      <c r="E59" s="72">
        <f>IFERROR(IF(COV_TRACK[[#This Row],[Employee Name]]="","",VLOOKUP(COV_TRACK[[#This Row],[Employee Name]],Database!B:F,3,0)),"")</f>
        <v>29</v>
      </c>
      <c r="F59" s="55" t="str">
        <f>IFERROR(IF(COV_TRACK[[#This Row],[Employee Name]]="","",VLOOKUP(COV_TRACK[[#This Row],[Employee Name]],Database!B:F,4,0)),"")</f>
        <v>F</v>
      </c>
      <c r="G59" s="55" t="str">
        <f>IFERROR(IF(COV_TRACK[[#This Row],[Employee Name]]="","",VLOOKUP(COV_TRACK[[#This Row],[Employee Name]],Database!B:F,5,0)),"")</f>
        <v>HR</v>
      </c>
      <c r="H59" s="56">
        <v>38</v>
      </c>
      <c r="I59" s="57" t="str">
        <f>IFERROR(IF(COV_TRACK[[#This Row],[TEMP  Cº]]="","",IF(COV_TRACK[[#This Row],[TEMP  Cº]]&lt;=Database!$N$5,Database!$L$5,IF(COV_TRACK[[#This Row],[TEMP  Cº]]&lt;=Database!$N$6,Database!$L$6,IF(COV_TRACK[[#This Row],[TEMP  Cº]]&lt;=Database!$N$7,Database!$L$7,Database!$L$8)))),"")</f>
        <v>Medium Risk</v>
      </c>
      <c r="J59" s="25" t="s">
        <v>280</v>
      </c>
      <c r="K59" s="58" t="s">
        <v>281</v>
      </c>
      <c r="L59" s="59" t="s">
        <v>280</v>
      </c>
      <c r="M59" s="60" t="s">
        <v>282</v>
      </c>
    </row>
    <row r="60" spans="1:13" x14ac:dyDescent="0.2">
      <c r="A60" s="5" t="str">
        <f t="shared" si="0"/>
        <v/>
      </c>
      <c r="B60" s="37">
        <v>44053</v>
      </c>
      <c r="C60" s="40" t="s">
        <v>103</v>
      </c>
      <c r="D60" s="55" t="str">
        <f>IFERROR(IF(COV_TRACK[[#This Row],[Employee Name]]="","",VLOOKUP(COV_TRACK[[#This Row],[Employee Name]],Database!B:F,2,0)),"")</f>
        <v>EMP-00036</v>
      </c>
      <c r="E60" s="72">
        <f>IFERROR(IF(COV_TRACK[[#This Row],[Employee Name]]="","",VLOOKUP(COV_TRACK[[#This Row],[Employee Name]],Database!B:F,3,0)),"")</f>
        <v>38</v>
      </c>
      <c r="F60" s="55" t="str">
        <f>IFERROR(IF(COV_TRACK[[#This Row],[Employee Name]]="","",VLOOKUP(COV_TRACK[[#This Row],[Employee Name]],Database!B:F,4,0)),"")</f>
        <v>F</v>
      </c>
      <c r="G60" s="55" t="str">
        <f>IFERROR(IF(COV_TRACK[[#This Row],[Employee Name]]="","",VLOOKUP(COV_TRACK[[#This Row],[Employee Name]],Database!B:F,5,0)),"")</f>
        <v>Planning</v>
      </c>
      <c r="H60" s="56">
        <v>37</v>
      </c>
      <c r="I60" s="57" t="str">
        <f>IFERROR(IF(COV_TRACK[[#This Row],[TEMP  Cº]]="","",IF(COV_TRACK[[#This Row],[TEMP  Cº]]&lt;=Database!$N$5,Database!$L$5,IF(COV_TRACK[[#This Row],[TEMP  Cº]]&lt;=Database!$N$6,Database!$L$6,IF(COV_TRACK[[#This Row],[TEMP  Cº]]&lt;=Database!$N$7,Database!$L$7,Database!$L$8)))),"")</f>
        <v>Normal</v>
      </c>
      <c r="J60" s="25" t="s">
        <v>279</v>
      </c>
      <c r="K60" s="58" t="s">
        <v>281</v>
      </c>
      <c r="L60" s="59" t="s">
        <v>280</v>
      </c>
      <c r="M60" s="60" t="s">
        <v>282</v>
      </c>
    </row>
    <row r="61" spans="1:13" x14ac:dyDescent="0.2">
      <c r="A61" s="5" t="str">
        <f t="shared" si="0"/>
        <v/>
      </c>
      <c r="B61" s="37">
        <v>43947</v>
      </c>
      <c r="C61" s="40" t="s">
        <v>170</v>
      </c>
      <c r="D61" s="55" t="str">
        <f>IFERROR(IF(COV_TRACK[[#This Row],[Employee Name]]="","",VLOOKUP(COV_TRACK[[#This Row],[Employee Name]],Database!B:F,2,0)),"")</f>
        <v>EMP-00103</v>
      </c>
      <c r="E61" s="72">
        <f>IFERROR(IF(COV_TRACK[[#This Row],[Employee Name]]="","",VLOOKUP(COV_TRACK[[#This Row],[Employee Name]],Database!B:F,3,0)),"")</f>
        <v>30</v>
      </c>
      <c r="F61" s="55" t="str">
        <f>IFERROR(IF(COV_TRACK[[#This Row],[Employee Name]]="","",VLOOKUP(COV_TRACK[[#This Row],[Employee Name]],Database!B:F,4,0)),"")</f>
        <v>M</v>
      </c>
      <c r="G61" s="55" t="str">
        <f>IFERROR(IF(COV_TRACK[[#This Row],[Employee Name]]="","",VLOOKUP(COV_TRACK[[#This Row],[Employee Name]],Database!B:F,5,0)),"")</f>
        <v>Purchasing</v>
      </c>
      <c r="H61" s="56">
        <v>38</v>
      </c>
      <c r="I61" s="57" t="str">
        <f>IFERROR(IF(COV_TRACK[[#This Row],[TEMP  Cº]]="","",IF(COV_TRACK[[#This Row],[TEMP  Cº]]&lt;=Database!$N$5,Database!$L$5,IF(COV_TRACK[[#This Row],[TEMP  Cº]]&lt;=Database!$N$6,Database!$L$6,IF(COV_TRACK[[#This Row],[TEMP  Cº]]&lt;=Database!$N$7,Database!$L$7,Database!$L$8)))),"")</f>
        <v>Medium Risk</v>
      </c>
      <c r="J61" s="25" t="s">
        <v>279</v>
      </c>
      <c r="K61" s="58" t="s">
        <v>281</v>
      </c>
      <c r="L61" s="59" t="s">
        <v>280</v>
      </c>
      <c r="M61" s="60" t="s">
        <v>282</v>
      </c>
    </row>
    <row r="62" spans="1:13" x14ac:dyDescent="0.2">
      <c r="A62" s="5" t="str">
        <f t="shared" si="0"/>
        <v/>
      </c>
      <c r="B62" s="37">
        <v>44130</v>
      </c>
      <c r="C62" s="40" t="s">
        <v>99</v>
      </c>
      <c r="D62" s="55" t="str">
        <f>IFERROR(IF(COV_TRACK[[#This Row],[Employee Name]]="","",VLOOKUP(COV_TRACK[[#This Row],[Employee Name]],Database!B:F,2,0)),"")</f>
        <v>EMP-00032</v>
      </c>
      <c r="E62" s="72">
        <f>IFERROR(IF(COV_TRACK[[#This Row],[Employee Name]]="","",VLOOKUP(COV_TRACK[[#This Row],[Employee Name]],Database!B:F,3,0)),"")</f>
        <v>34</v>
      </c>
      <c r="F62" s="55" t="str">
        <f>IFERROR(IF(COV_TRACK[[#This Row],[Employee Name]]="","",VLOOKUP(COV_TRACK[[#This Row],[Employee Name]],Database!B:F,4,0)),"")</f>
        <v>F</v>
      </c>
      <c r="G62" s="55" t="str">
        <f>IFERROR(IF(COV_TRACK[[#This Row],[Employee Name]]="","",VLOOKUP(COV_TRACK[[#This Row],[Employee Name]],Database!B:F,5,0)),"")</f>
        <v>Planning</v>
      </c>
      <c r="H62" s="56">
        <v>37</v>
      </c>
      <c r="I62" s="57" t="str">
        <f>IFERROR(IF(COV_TRACK[[#This Row],[TEMP  Cº]]="","",IF(COV_TRACK[[#This Row],[TEMP  Cº]]&lt;=Database!$N$5,Database!$L$5,IF(COV_TRACK[[#This Row],[TEMP  Cº]]&lt;=Database!$N$6,Database!$L$6,IF(COV_TRACK[[#This Row],[TEMP  Cº]]&lt;=Database!$N$7,Database!$L$7,Database!$L$8)))),"")</f>
        <v>Normal</v>
      </c>
      <c r="J62" s="25" t="s">
        <v>280</v>
      </c>
      <c r="K62" s="58" t="s">
        <v>281</v>
      </c>
      <c r="L62" s="59" t="s">
        <v>280</v>
      </c>
      <c r="M62" s="60" t="s">
        <v>282</v>
      </c>
    </row>
    <row r="63" spans="1:13" x14ac:dyDescent="0.2">
      <c r="A63" s="5" t="str">
        <f t="shared" si="0"/>
        <v/>
      </c>
      <c r="B63" s="37">
        <v>44042</v>
      </c>
      <c r="C63" s="40" t="s">
        <v>36</v>
      </c>
      <c r="D63" s="55" t="str">
        <f>IFERROR(IF(COV_TRACK[[#This Row],[Employee Name]]="","",VLOOKUP(COV_TRACK[[#This Row],[Employee Name]],Database!B:F,2,0)),"")</f>
        <v>EMP-00009</v>
      </c>
      <c r="E63" s="72">
        <f>IFERROR(IF(COV_TRACK[[#This Row],[Employee Name]]="","",VLOOKUP(COV_TRACK[[#This Row],[Employee Name]],Database!B:F,3,0)),"")</f>
        <v>36</v>
      </c>
      <c r="F63" s="55" t="str">
        <f>IFERROR(IF(COV_TRACK[[#This Row],[Employee Name]]="","",VLOOKUP(COV_TRACK[[#This Row],[Employee Name]],Database!B:F,4,0)),"")</f>
        <v>M</v>
      </c>
      <c r="G63" s="55" t="str">
        <f>IFERROR(IF(COV_TRACK[[#This Row],[Employee Name]]="","",VLOOKUP(COV_TRACK[[#This Row],[Employee Name]],Database!B:F,5,0)),"")</f>
        <v>Finance</v>
      </c>
      <c r="H63" s="56">
        <v>40</v>
      </c>
      <c r="I63" s="57" t="str">
        <f>IFERROR(IF(COV_TRACK[[#This Row],[TEMP  Cº]]="","",IF(COV_TRACK[[#This Row],[TEMP  Cº]]&lt;=Database!$N$5,Database!$L$5,IF(COV_TRACK[[#This Row],[TEMP  Cº]]&lt;=Database!$N$6,Database!$L$6,IF(COV_TRACK[[#This Row],[TEMP  Cº]]&lt;=Database!$N$7,Database!$L$7,Database!$L$8)))),"")</f>
        <v>Very High Risk</v>
      </c>
      <c r="J63" s="25" t="s">
        <v>279</v>
      </c>
      <c r="K63" s="58" t="s">
        <v>79</v>
      </c>
      <c r="L63" s="59" t="s">
        <v>279</v>
      </c>
      <c r="M63" s="60" t="s">
        <v>60</v>
      </c>
    </row>
    <row r="64" spans="1:13" x14ac:dyDescent="0.2">
      <c r="A64" s="5" t="str">
        <f t="shared" si="0"/>
        <v/>
      </c>
      <c r="B64" s="37">
        <v>43845</v>
      </c>
      <c r="C64" s="40" t="s">
        <v>113</v>
      </c>
      <c r="D64" s="55" t="str">
        <f>IFERROR(IF(COV_TRACK[[#This Row],[Employee Name]]="","",VLOOKUP(COV_TRACK[[#This Row],[Employee Name]],Database!B:F,2,0)),"")</f>
        <v>EMP-00046</v>
      </c>
      <c r="E64" s="72">
        <f>IFERROR(IF(COV_TRACK[[#This Row],[Employee Name]]="","",VLOOKUP(COV_TRACK[[#This Row],[Employee Name]],Database!B:F,3,0)),"")</f>
        <v>38</v>
      </c>
      <c r="F64" s="55" t="str">
        <f>IFERROR(IF(COV_TRACK[[#This Row],[Employee Name]]="","",VLOOKUP(COV_TRACK[[#This Row],[Employee Name]],Database!B:F,4,0)),"")</f>
        <v>M</v>
      </c>
      <c r="G64" s="55" t="str">
        <f>IFERROR(IF(COV_TRACK[[#This Row],[Employee Name]]="","",VLOOKUP(COV_TRACK[[#This Row],[Employee Name]],Database!B:F,5,0)),"")</f>
        <v>QA</v>
      </c>
      <c r="H64" s="56">
        <v>38</v>
      </c>
      <c r="I64" s="57" t="str">
        <f>IFERROR(IF(COV_TRACK[[#This Row],[TEMP  Cº]]="","",IF(COV_TRACK[[#This Row],[TEMP  Cº]]&lt;=Database!$N$5,Database!$L$5,IF(COV_TRACK[[#This Row],[TEMP  Cº]]&lt;=Database!$N$6,Database!$L$6,IF(COV_TRACK[[#This Row],[TEMP  Cº]]&lt;=Database!$N$7,Database!$L$7,Database!$L$8)))),"")</f>
        <v>Medium Risk</v>
      </c>
      <c r="J64" s="25" t="s">
        <v>279</v>
      </c>
      <c r="K64" s="58" t="s">
        <v>281</v>
      </c>
      <c r="L64" s="59" t="s">
        <v>280</v>
      </c>
      <c r="M64" s="60" t="s">
        <v>282</v>
      </c>
    </row>
    <row r="65" spans="1:13" x14ac:dyDescent="0.2">
      <c r="A65" s="5" t="str">
        <f t="shared" si="0"/>
        <v/>
      </c>
      <c r="B65" s="37">
        <v>43989</v>
      </c>
      <c r="C65" s="40" t="s">
        <v>139</v>
      </c>
      <c r="D65" s="55" t="str">
        <f>IFERROR(IF(COV_TRACK[[#This Row],[Employee Name]]="","",VLOOKUP(COV_TRACK[[#This Row],[Employee Name]],Database!B:F,2,0)),"")</f>
        <v>EMP-00072</v>
      </c>
      <c r="E65" s="72">
        <f>IFERROR(IF(COV_TRACK[[#This Row],[Employee Name]]="","",VLOOKUP(COV_TRACK[[#This Row],[Employee Name]],Database!B:F,3,0)),"")</f>
        <v>32</v>
      </c>
      <c r="F65" s="55" t="str">
        <f>IFERROR(IF(COV_TRACK[[#This Row],[Employee Name]]="","",VLOOKUP(COV_TRACK[[#This Row],[Employee Name]],Database!B:F,4,0)),"")</f>
        <v>F</v>
      </c>
      <c r="G65" s="55" t="str">
        <f>IFERROR(IF(COV_TRACK[[#This Row],[Employee Name]]="","",VLOOKUP(COV_TRACK[[#This Row],[Employee Name]],Database!B:F,5,0)),"")</f>
        <v>Production</v>
      </c>
      <c r="H65" s="56">
        <v>37</v>
      </c>
      <c r="I65" s="57" t="str">
        <f>IFERROR(IF(COV_TRACK[[#This Row],[TEMP  Cº]]="","",IF(COV_TRACK[[#This Row],[TEMP  Cº]]&lt;=Database!$N$5,Database!$L$5,IF(COV_TRACK[[#This Row],[TEMP  Cº]]&lt;=Database!$N$6,Database!$L$6,IF(COV_TRACK[[#This Row],[TEMP  Cº]]&lt;=Database!$N$7,Database!$L$7,Database!$L$8)))),"")</f>
        <v>Normal</v>
      </c>
      <c r="J65" s="25" t="s">
        <v>279</v>
      </c>
      <c r="K65" s="58" t="s">
        <v>281</v>
      </c>
      <c r="L65" s="59" t="s">
        <v>280</v>
      </c>
      <c r="M65" s="60" t="s">
        <v>282</v>
      </c>
    </row>
    <row r="66" spans="1:13" x14ac:dyDescent="0.2">
      <c r="A66" s="5" t="str">
        <f t="shared" si="0"/>
        <v/>
      </c>
      <c r="B66" s="37">
        <v>43863</v>
      </c>
      <c r="C66" s="40" t="s">
        <v>86</v>
      </c>
      <c r="D66" s="55" t="str">
        <f>IFERROR(IF(COV_TRACK[[#This Row],[Employee Name]]="","",VLOOKUP(COV_TRACK[[#This Row],[Employee Name]],Database!B:F,2,0)),"")</f>
        <v>EMP-00019</v>
      </c>
      <c r="E66" s="72">
        <f>IFERROR(IF(COV_TRACK[[#This Row],[Employee Name]]="","",VLOOKUP(COV_TRACK[[#This Row],[Employee Name]],Database!B:F,3,0)),"")</f>
        <v>28</v>
      </c>
      <c r="F66" s="55" t="str">
        <f>IFERROR(IF(COV_TRACK[[#This Row],[Employee Name]]="","",VLOOKUP(COV_TRACK[[#This Row],[Employee Name]],Database!B:F,4,0)),"")</f>
        <v>M</v>
      </c>
      <c r="G66" s="55" t="str">
        <f>IFERROR(IF(COV_TRACK[[#This Row],[Employee Name]]="","",VLOOKUP(COV_TRACK[[#This Row],[Employee Name]],Database!B:F,5,0)),"")</f>
        <v>Planning</v>
      </c>
      <c r="H66" s="56">
        <v>38</v>
      </c>
      <c r="I66" s="57" t="str">
        <f>IFERROR(IF(COV_TRACK[[#This Row],[TEMP  Cº]]="","",IF(COV_TRACK[[#This Row],[TEMP  Cº]]&lt;=Database!$N$5,Database!$L$5,IF(COV_TRACK[[#This Row],[TEMP  Cº]]&lt;=Database!$N$6,Database!$L$6,IF(COV_TRACK[[#This Row],[TEMP  Cº]]&lt;=Database!$N$7,Database!$L$7,Database!$L$8)))),"")</f>
        <v>Medium Risk</v>
      </c>
      <c r="J66" s="25" t="s">
        <v>279</v>
      </c>
      <c r="K66" s="58" t="s">
        <v>281</v>
      </c>
      <c r="L66" s="59" t="s">
        <v>280</v>
      </c>
      <c r="M66" s="60" t="s">
        <v>282</v>
      </c>
    </row>
    <row r="67" spans="1:13" x14ac:dyDescent="0.2">
      <c r="A67" s="5" t="str">
        <f t="shared" si="0"/>
        <v/>
      </c>
      <c r="B67" s="37">
        <v>44093</v>
      </c>
      <c r="C67" s="40" t="s">
        <v>144</v>
      </c>
      <c r="D67" s="55" t="str">
        <f>IFERROR(IF(COV_TRACK[[#This Row],[Employee Name]]="","",VLOOKUP(COV_TRACK[[#This Row],[Employee Name]],Database!B:F,2,0)),"")</f>
        <v>EMP-00077</v>
      </c>
      <c r="E67" s="72">
        <f>IFERROR(IF(COV_TRACK[[#This Row],[Employee Name]]="","",VLOOKUP(COV_TRACK[[#This Row],[Employee Name]],Database!B:F,3,0)),"")</f>
        <v>38</v>
      </c>
      <c r="F67" s="55" t="str">
        <f>IFERROR(IF(COV_TRACK[[#This Row],[Employee Name]]="","",VLOOKUP(COV_TRACK[[#This Row],[Employee Name]],Database!B:F,4,0)),"")</f>
        <v>F</v>
      </c>
      <c r="G67" s="55" t="str">
        <f>IFERROR(IF(COV_TRACK[[#This Row],[Employee Name]]="","",VLOOKUP(COV_TRACK[[#This Row],[Employee Name]],Database!B:F,5,0)),"")</f>
        <v>Finance</v>
      </c>
      <c r="H67" s="56">
        <v>37</v>
      </c>
      <c r="I67" s="57" t="str">
        <f>IFERROR(IF(COV_TRACK[[#This Row],[TEMP  Cº]]="","",IF(COV_TRACK[[#This Row],[TEMP  Cº]]&lt;=Database!$N$5,Database!$L$5,IF(COV_TRACK[[#This Row],[TEMP  Cº]]&lt;=Database!$N$6,Database!$L$6,IF(COV_TRACK[[#This Row],[TEMP  Cº]]&lt;=Database!$N$7,Database!$L$7,Database!$L$8)))),"")</f>
        <v>Normal</v>
      </c>
      <c r="J67" s="25" t="s">
        <v>279</v>
      </c>
      <c r="K67" s="58" t="s">
        <v>281</v>
      </c>
      <c r="L67" s="59" t="s">
        <v>280</v>
      </c>
      <c r="M67" s="60" t="s">
        <v>282</v>
      </c>
    </row>
    <row r="68" spans="1:13" x14ac:dyDescent="0.2">
      <c r="A68" s="5" t="str">
        <f t="shared" ref="A68:A131" si="1">IF(AND(B67&lt;&gt;"",B68=""),$A$2&amp;"---&gt;","")</f>
        <v/>
      </c>
      <c r="B68" s="37">
        <v>44070</v>
      </c>
      <c r="C68" s="40" t="s">
        <v>146</v>
      </c>
      <c r="D68" s="55" t="str">
        <f>IFERROR(IF(COV_TRACK[[#This Row],[Employee Name]]="","",VLOOKUP(COV_TRACK[[#This Row],[Employee Name]],Database!B:F,2,0)),"")</f>
        <v>EMP-00079</v>
      </c>
      <c r="E68" s="72">
        <f>IFERROR(IF(COV_TRACK[[#This Row],[Employee Name]]="","",VLOOKUP(COV_TRACK[[#This Row],[Employee Name]],Database!B:F,3,0)),"")</f>
        <v>37</v>
      </c>
      <c r="F68" s="55" t="str">
        <f>IFERROR(IF(COV_TRACK[[#This Row],[Employee Name]]="","",VLOOKUP(COV_TRACK[[#This Row],[Employee Name]],Database!B:F,4,0)),"")</f>
        <v>M</v>
      </c>
      <c r="G68" s="55" t="str">
        <f>IFERROR(IF(COV_TRACK[[#This Row],[Employee Name]]="","",VLOOKUP(COV_TRACK[[#This Row],[Employee Name]],Database!B:F,5,0)),"")</f>
        <v>Production</v>
      </c>
      <c r="H68" s="56">
        <v>38</v>
      </c>
      <c r="I68" s="57" t="str">
        <f>IFERROR(IF(COV_TRACK[[#This Row],[TEMP  Cº]]="","",IF(COV_TRACK[[#This Row],[TEMP  Cº]]&lt;=Database!$N$5,Database!$L$5,IF(COV_TRACK[[#This Row],[TEMP  Cº]]&lt;=Database!$N$6,Database!$L$6,IF(COV_TRACK[[#This Row],[TEMP  Cº]]&lt;=Database!$N$7,Database!$L$7,Database!$L$8)))),"")</f>
        <v>Medium Risk</v>
      </c>
      <c r="J68" s="25" t="s">
        <v>279</v>
      </c>
      <c r="K68" s="58" t="s">
        <v>281</v>
      </c>
      <c r="L68" s="59" t="s">
        <v>279</v>
      </c>
      <c r="M68" s="60" t="s">
        <v>282</v>
      </c>
    </row>
    <row r="69" spans="1:13" x14ac:dyDescent="0.2">
      <c r="A69" s="5" t="str">
        <f t="shared" si="1"/>
        <v/>
      </c>
      <c r="B69" s="37">
        <v>44086</v>
      </c>
      <c r="C69" s="40" t="s">
        <v>127</v>
      </c>
      <c r="D69" s="55" t="str">
        <f>IFERROR(IF(COV_TRACK[[#This Row],[Employee Name]]="","",VLOOKUP(COV_TRACK[[#This Row],[Employee Name]],Database!B:F,2,0)),"")</f>
        <v>EMP-00060</v>
      </c>
      <c r="E69" s="72">
        <f>IFERROR(IF(COV_TRACK[[#This Row],[Employee Name]]="","",VLOOKUP(COV_TRACK[[#This Row],[Employee Name]],Database!B:F,3,0)),"")</f>
        <v>38</v>
      </c>
      <c r="F69" s="55" t="str">
        <f>IFERROR(IF(COV_TRACK[[#This Row],[Employee Name]]="","",VLOOKUP(COV_TRACK[[#This Row],[Employee Name]],Database!B:F,4,0)),"")</f>
        <v>F</v>
      </c>
      <c r="G69" s="55" t="str">
        <f>IFERROR(IF(COV_TRACK[[#This Row],[Employee Name]]="","",VLOOKUP(COV_TRACK[[#This Row],[Employee Name]],Database!B:F,5,0)),"")</f>
        <v>Warehouse</v>
      </c>
      <c r="H69" s="56">
        <v>37</v>
      </c>
      <c r="I69" s="57" t="str">
        <f>IFERROR(IF(COV_TRACK[[#This Row],[TEMP  Cº]]="","",IF(COV_TRACK[[#This Row],[TEMP  Cº]]&lt;=Database!$N$5,Database!$L$5,IF(COV_TRACK[[#This Row],[TEMP  Cº]]&lt;=Database!$N$6,Database!$L$6,IF(COV_TRACK[[#This Row],[TEMP  Cº]]&lt;=Database!$N$7,Database!$L$7,Database!$L$8)))),"")</f>
        <v>Normal</v>
      </c>
      <c r="J69" s="25" t="s">
        <v>279</v>
      </c>
      <c r="K69" s="58" t="s">
        <v>281</v>
      </c>
      <c r="L69" s="59" t="s">
        <v>280</v>
      </c>
      <c r="M69" s="60" t="s">
        <v>282</v>
      </c>
    </row>
    <row r="70" spans="1:13" x14ac:dyDescent="0.2">
      <c r="A70" s="5" t="str">
        <f t="shared" si="1"/>
        <v/>
      </c>
      <c r="B70" s="37">
        <v>43924</v>
      </c>
      <c r="C70" s="40" t="s">
        <v>145</v>
      </c>
      <c r="D70" s="55" t="str">
        <f>IFERROR(IF(COV_TRACK[[#This Row],[Employee Name]]="","",VLOOKUP(COV_TRACK[[#This Row],[Employee Name]],Database!B:F,2,0)),"")</f>
        <v>EMP-00078</v>
      </c>
      <c r="E70" s="72">
        <f>IFERROR(IF(COV_TRACK[[#This Row],[Employee Name]]="","",VLOOKUP(COV_TRACK[[#This Row],[Employee Name]],Database!B:F,3,0)),"")</f>
        <v>38</v>
      </c>
      <c r="F70" s="55" t="str">
        <f>IFERROR(IF(COV_TRACK[[#This Row],[Employee Name]]="","",VLOOKUP(COV_TRACK[[#This Row],[Employee Name]],Database!B:F,4,0)),"")</f>
        <v>M</v>
      </c>
      <c r="G70" s="55" t="str">
        <f>IFERROR(IF(COV_TRACK[[#This Row],[Employee Name]]="","",VLOOKUP(COV_TRACK[[#This Row],[Employee Name]],Database!B:F,5,0)),"")</f>
        <v>QA</v>
      </c>
      <c r="H70" s="56">
        <v>37</v>
      </c>
      <c r="I70" s="57" t="str">
        <f>IFERROR(IF(COV_TRACK[[#This Row],[TEMP  Cº]]="","",IF(COV_TRACK[[#This Row],[TEMP  Cº]]&lt;=Database!$N$5,Database!$L$5,IF(COV_TRACK[[#This Row],[TEMP  Cº]]&lt;=Database!$N$6,Database!$L$6,IF(COV_TRACK[[#This Row],[TEMP  Cº]]&lt;=Database!$N$7,Database!$L$7,Database!$L$8)))),"")</f>
        <v>Normal</v>
      </c>
      <c r="J70" s="25" t="s">
        <v>279</v>
      </c>
      <c r="K70" s="58" t="s">
        <v>281</v>
      </c>
      <c r="L70" s="59" t="s">
        <v>280</v>
      </c>
      <c r="M70" s="60" t="s">
        <v>282</v>
      </c>
    </row>
    <row r="71" spans="1:13" x14ac:dyDescent="0.2">
      <c r="A71" s="5" t="str">
        <f t="shared" si="1"/>
        <v/>
      </c>
      <c r="B71" s="37">
        <v>43886</v>
      </c>
      <c r="C71" s="40" t="s">
        <v>32</v>
      </c>
      <c r="D71" s="55" t="str">
        <f>IFERROR(IF(COV_TRACK[[#This Row],[Employee Name]]="","",VLOOKUP(COV_TRACK[[#This Row],[Employee Name]],Database!B:F,2,0)),"")</f>
        <v>EMP-00005</v>
      </c>
      <c r="E71" s="72">
        <f>IFERROR(IF(COV_TRACK[[#This Row],[Employee Name]]="","",VLOOKUP(COV_TRACK[[#This Row],[Employee Name]],Database!B:F,3,0)),"")</f>
        <v>36</v>
      </c>
      <c r="F71" s="55" t="str">
        <f>IFERROR(IF(COV_TRACK[[#This Row],[Employee Name]]="","",VLOOKUP(COV_TRACK[[#This Row],[Employee Name]],Database!B:F,4,0)),"")</f>
        <v>M</v>
      </c>
      <c r="G71" s="55" t="str">
        <f>IFERROR(IF(COV_TRACK[[#This Row],[Employee Name]]="","",VLOOKUP(COV_TRACK[[#This Row],[Employee Name]],Database!B:F,5,0)),"")</f>
        <v>Finance</v>
      </c>
      <c r="H71" s="56">
        <v>38</v>
      </c>
      <c r="I71" s="57" t="str">
        <f>IFERROR(IF(COV_TRACK[[#This Row],[TEMP  Cº]]="","",IF(COV_TRACK[[#This Row],[TEMP  Cº]]&lt;=Database!$N$5,Database!$L$5,IF(COV_TRACK[[#This Row],[TEMP  Cº]]&lt;=Database!$N$6,Database!$L$6,IF(COV_TRACK[[#This Row],[TEMP  Cº]]&lt;=Database!$N$7,Database!$L$7,Database!$L$8)))),"")</f>
        <v>Medium Risk</v>
      </c>
      <c r="J71" s="25" t="s">
        <v>279</v>
      </c>
      <c r="K71" s="58" t="s">
        <v>281</v>
      </c>
      <c r="L71" s="59" t="s">
        <v>280</v>
      </c>
      <c r="M71" s="60" t="s">
        <v>282</v>
      </c>
    </row>
    <row r="72" spans="1:13" x14ac:dyDescent="0.2">
      <c r="A72" s="5" t="str">
        <f t="shared" si="1"/>
        <v/>
      </c>
      <c r="B72" s="37">
        <v>43930</v>
      </c>
      <c r="C72" s="40" t="s">
        <v>113</v>
      </c>
      <c r="D72" s="55" t="str">
        <f>IFERROR(IF(COV_TRACK[[#This Row],[Employee Name]]="","",VLOOKUP(COV_TRACK[[#This Row],[Employee Name]],Database!B:F,2,0)),"")</f>
        <v>EMP-00046</v>
      </c>
      <c r="E72" s="72">
        <f>IFERROR(IF(COV_TRACK[[#This Row],[Employee Name]]="","",VLOOKUP(COV_TRACK[[#This Row],[Employee Name]],Database!B:F,3,0)),"")</f>
        <v>38</v>
      </c>
      <c r="F72" s="55" t="str">
        <f>IFERROR(IF(COV_TRACK[[#This Row],[Employee Name]]="","",VLOOKUP(COV_TRACK[[#This Row],[Employee Name]],Database!B:F,4,0)),"")</f>
        <v>M</v>
      </c>
      <c r="G72" s="55" t="str">
        <f>IFERROR(IF(COV_TRACK[[#This Row],[Employee Name]]="","",VLOOKUP(COV_TRACK[[#This Row],[Employee Name]],Database!B:F,5,0)),"")</f>
        <v>QA</v>
      </c>
      <c r="H72" s="56">
        <v>37</v>
      </c>
      <c r="I72" s="57" t="str">
        <f>IFERROR(IF(COV_TRACK[[#This Row],[TEMP  Cº]]="","",IF(COV_TRACK[[#This Row],[TEMP  Cº]]&lt;=Database!$N$5,Database!$L$5,IF(COV_TRACK[[#This Row],[TEMP  Cº]]&lt;=Database!$N$6,Database!$L$6,IF(COV_TRACK[[#This Row],[TEMP  Cº]]&lt;=Database!$N$7,Database!$L$7,Database!$L$8)))),"")</f>
        <v>Normal</v>
      </c>
      <c r="J72" s="25" t="s">
        <v>279</v>
      </c>
      <c r="K72" s="58" t="s">
        <v>281</v>
      </c>
      <c r="L72" s="59" t="s">
        <v>280</v>
      </c>
      <c r="M72" s="60" t="s">
        <v>282</v>
      </c>
    </row>
    <row r="73" spans="1:13" x14ac:dyDescent="0.2">
      <c r="A73" s="5" t="str">
        <f t="shared" si="1"/>
        <v/>
      </c>
      <c r="B73" s="37">
        <v>43976</v>
      </c>
      <c r="C73" s="40" t="s">
        <v>84</v>
      </c>
      <c r="D73" s="55" t="str">
        <f>IFERROR(IF(COV_TRACK[[#This Row],[Employee Name]]="","",VLOOKUP(COV_TRACK[[#This Row],[Employee Name]],Database!B:F,2,0)),"")</f>
        <v>EMP-00017</v>
      </c>
      <c r="E73" s="72">
        <f>IFERROR(IF(COV_TRACK[[#This Row],[Employee Name]]="","",VLOOKUP(COV_TRACK[[#This Row],[Employee Name]],Database!B:F,3,0)),"")</f>
        <v>27</v>
      </c>
      <c r="F73" s="55" t="str">
        <f>IFERROR(IF(COV_TRACK[[#This Row],[Employee Name]]="","",VLOOKUP(COV_TRACK[[#This Row],[Employee Name]],Database!B:F,4,0)),"")</f>
        <v>F</v>
      </c>
      <c r="G73" s="55" t="str">
        <f>IFERROR(IF(COV_TRACK[[#This Row],[Employee Name]]="","",VLOOKUP(COV_TRACK[[#This Row],[Employee Name]],Database!B:F,5,0)),"")</f>
        <v>QA</v>
      </c>
      <c r="H73" s="56">
        <v>38</v>
      </c>
      <c r="I73" s="57" t="str">
        <f>IFERROR(IF(COV_TRACK[[#This Row],[TEMP  Cº]]="","",IF(COV_TRACK[[#This Row],[TEMP  Cº]]&lt;=Database!$N$5,Database!$L$5,IF(COV_TRACK[[#This Row],[TEMP  Cº]]&lt;=Database!$N$6,Database!$L$6,IF(COV_TRACK[[#This Row],[TEMP  Cº]]&lt;=Database!$N$7,Database!$L$7,Database!$L$8)))),"")</f>
        <v>Medium Risk</v>
      </c>
      <c r="J73" s="25" t="s">
        <v>279</v>
      </c>
      <c r="K73" s="58" t="s">
        <v>281</v>
      </c>
      <c r="L73" s="59" t="s">
        <v>280</v>
      </c>
      <c r="M73" s="60" t="s">
        <v>282</v>
      </c>
    </row>
    <row r="74" spans="1:13" x14ac:dyDescent="0.2">
      <c r="A74" s="5" t="str">
        <f t="shared" si="1"/>
        <v/>
      </c>
      <c r="B74" s="37">
        <v>43903</v>
      </c>
      <c r="C74" s="40" t="s">
        <v>136</v>
      </c>
      <c r="D74" s="55" t="str">
        <f>IFERROR(IF(COV_TRACK[[#This Row],[Employee Name]]="","",VLOOKUP(COV_TRACK[[#This Row],[Employee Name]],Database!B:F,2,0)),"")</f>
        <v>EMP-00069</v>
      </c>
      <c r="E74" s="72">
        <f>IFERROR(IF(COV_TRACK[[#This Row],[Employee Name]]="","",VLOOKUP(COV_TRACK[[#This Row],[Employee Name]],Database!B:F,3,0)),"")</f>
        <v>38</v>
      </c>
      <c r="F74" s="55" t="str">
        <f>IFERROR(IF(COV_TRACK[[#This Row],[Employee Name]]="","",VLOOKUP(COV_TRACK[[#This Row],[Employee Name]],Database!B:F,4,0)),"")</f>
        <v>M</v>
      </c>
      <c r="G74" s="55" t="str">
        <f>IFERROR(IF(COV_TRACK[[#This Row],[Employee Name]]="","",VLOOKUP(COV_TRACK[[#This Row],[Employee Name]],Database!B:F,5,0)),"")</f>
        <v>Production</v>
      </c>
      <c r="H74" s="56">
        <v>37</v>
      </c>
      <c r="I74" s="57" t="str">
        <f>IFERROR(IF(COV_TRACK[[#This Row],[TEMP  Cº]]="","",IF(COV_TRACK[[#This Row],[TEMP  Cº]]&lt;=Database!$N$5,Database!$L$5,IF(COV_TRACK[[#This Row],[TEMP  Cº]]&lt;=Database!$N$6,Database!$L$6,IF(COV_TRACK[[#This Row],[TEMP  Cº]]&lt;=Database!$N$7,Database!$L$7,Database!$L$8)))),"")</f>
        <v>Normal</v>
      </c>
      <c r="J74" s="25" t="s">
        <v>279</v>
      </c>
      <c r="K74" s="58" t="s">
        <v>281</v>
      </c>
      <c r="L74" s="59" t="s">
        <v>280</v>
      </c>
      <c r="M74" s="60" t="s">
        <v>282</v>
      </c>
    </row>
    <row r="75" spans="1:13" x14ac:dyDescent="0.2">
      <c r="A75" s="5" t="str">
        <f t="shared" si="1"/>
        <v/>
      </c>
      <c r="B75" s="37">
        <v>44069</v>
      </c>
      <c r="C75" s="40" t="s">
        <v>158</v>
      </c>
      <c r="D75" s="55" t="str">
        <f>IFERROR(IF(COV_TRACK[[#This Row],[Employee Name]]="","",VLOOKUP(COV_TRACK[[#This Row],[Employee Name]],Database!B:F,2,0)),"")</f>
        <v>EMP-00091</v>
      </c>
      <c r="E75" s="72">
        <f>IFERROR(IF(COV_TRACK[[#This Row],[Employee Name]]="","",VLOOKUP(COV_TRACK[[#This Row],[Employee Name]],Database!B:F,3,0)),"")</f>
        <v>34</v>
      </c>
      <c r="F75" s="55" t="str">
        <f>IFERROR(IF(COV_TRACK[[#This Row],[Employee Name]]="","",VLOOKUP(COV_TRACK[[#This Row],[Employee Name]],Database!B:F,4,0)),"")</f>
        <v>F</v>
      </c>
      <c r="G75" s="55" t="str">
        <f>IFERROR(IF(COV_TRACK[[#This Row],[Employee Name]]="","",VLOOKUP(COV_TRACK[[#This Row],[Employee Name]],Database!B:F,5,0)),"")</f>
        <v>Purchasing</v>
      </c>
      <c r="H75" s="56">
        <v>37</v>
      </c>
      <c r="I75" s="57" t="str">
        <f>IFERROR(IF(COV_TRACK[[#This Row],[TEMP  Cº]]="","",IF(COV_TRACK[[#This Row],[TEMP  Cº]]&lt;=Database!$N$5,Database!$L$5,IF(COV_TRACK[[#This Row],[TEMP  Cº]]&lt;=Database!$N$6,Database!$L$6,IF(COV_TRACK[[#This Row],[TEMP  Cº]]&lt;=Database!$N$7,Database!$L$7,Database!$L$8)))),"")</f>
        <v>Normal</v>
      </c>
      <c r="J75" s="25" t="s">
        <v>280</v>
      </c>
      <c r="K75" s="58" t="s">
        <v>281</v>
      </c>
      <c r="L75" s="59" t="s">
        <v>280</v>
      </c>
      <c r="M75" s="60" t="s">
        <v>282</v>
      </c>
    </row>
    <row r="76" spans="1:13" x14ac:dyDescent="0.2">
      <c r="A76" s="5" t="str">
        <f t="shared" si="1"/>
        <v/>
      </c>
      <c r="B76" s="37">
        <v>44093</v>
      </c>
      <c r="C76" s="40" t="s">
        <v>93</v>
      </c>
      <c r="D76" s="55" t="str">
        <f>IFERROR(IF(COV_TRACK[[#This Row],[Employee Name]]="","",VLOOKUP(COV_TRACK[[#This Row],[Employee Name]],Database!B:F,2,0)),"")</f>
        <v>EMP-00026</v>
      </c>
      <c r="E76" s="72">
        <f>IFERROR(IF(COV_TRACK[[#This Row],[Employee Name]]="","",VLOOKUP(COV_TRACK[[#This Row],[Employee Name]],Database!B:F,3,0)),"")</f>
        <v>35</v>
      </c>
      <c r="F76" s="55" t="str">
        <f>IFERROR(IF(COV_TRACK[[#This Row],[Employee Name]]="","",VLOOKUP(COV_TRACK[[#This Row],[Employee Name]],Database!B:F,4,0)),"")</f>
        <v>F</v>
      </c>
      <c r="G76" s="55" t="str">
        <f>IFERROR(IF(COV_TRACK[[#This Row],[Employee Name]]="","",VLOOKUP(COV_TRACK[[#This Row],[Employee Name]],Database!B:F,5,0)),"")</f>
        <v>Production</v>
      </c>
      <c r="H76" s="56">
        <v>37</v>
      </c>
      <c r="I76" s="57" t="str">
        <f>IFERROR(IF(COV_TRACK[[#This Row],[TEMP  Cº]]="","",IF(COV_TRACK[[#This Row],[TEMP  Cº]]&lt;=Database!$N$5,Database!$L$5,IF(COV_TRACK[[#This Row],[TEMP  Cº]]&lt;=Database!$N$6,Database!$L$6,IF(COV_TRACK[[#This Row],[TEMP  Cº]]&lt;=Database!$N$7,Database!$L$7,Database!$L$8)))),"")</f>
        <v>Normal</v>
      </c>
      <c r="J76" s="25" t="s">
        <v>279</v>
      </c>
      <c r="K76" s="58" t="s">
        <v>281</v>
      </c>
      <c r="L76" s="59" t="s">
        <v>280</v>
      </c>
      <c r="M76" s="60" t="s">
        <v>282</v>
      </c>
    </row>
    <row r="77" spans="1:13" x14ac:dyDescent="0.2">
      <c r="A77" s="5" t="str">
        <f t="shared" si="1"/>
        <v/>
      </c>
      <c r="B77" s="37">
        <v>43999</v>
      </c>
      <c r="C77" s="40" t="s">
        <v>100</v>
      </c>
      <c r="D77" s="55" t="str">
        <f>IFERROR(IF(COV_TRACK[[#This Row],[Employee Name]]="","",VLOOKUP(COV_TRACK[[#This Row],[Employee Name]],Database!B:F,2,0)),"")</f>
        <v>EMP-00033</v>
      </c>
      <c r="E77" s="72">
        <f>IFERROR(IF(COV_TRACK[[#This Row],[Employee Name]]="","",VLOOKUP(COV_TRACK[[#This Row],[Employee Name]],Database!B:F,3,0)),"")</f>
        <v>31</v>
      </c>
      <c r="F77" s="55" t="str">
        <f>IFERROR(IF(COV_TRACK[[#This Row],[Employee Name]]="","",VLOOKUP(COV_TRACK[[#This Row],[Employee Name]],Database!B:F,4,0)),"")</f>
        <v>F</v>
      </c>
      <c r="G77" s="55" t="str">
        <f>IFERROR(IF(COV_TRACK[[#This Row],[Employee Name]]="","",VLOOKUP(COV_TRACK[[#This Row],[Employee Name]],Database!B:F,5,0)),"")</f>
        <v>HR</v>
      </c>
      <c r="H77" s="56">
        <v>39</v>
      </c>
      <c r="I77" s="57" t="str">
        <f>IFERROR(IF(COV_TRACK[[#This Row],[TEMP  Cº]]="","",IF(COV_TRACK[[#This Row],[TEMP  Cº]]&lt;=Database!$N$5,Database!$L$5,IF(COV_TRACK[[#This Row],[TEMP  Cº]]&lt;=Database!$N$6,Database!$L$6,IF(COV_TRACK[[#This Row],[TEMP  Cº]]&lt;=Database!$N$7,Database!$L$7,Database!$L$8)))),"")</f>
        <v>High Risk</v>
      </c>
      <c r="J77" s="25" t="s">
        <v>279</v>
      </c>
      <c r="K77" s="58" t="s">
        <v>79</v>
      </c>
      <c r="L77" s="59" t="s">
        <v>279</v>
      </c>
      <c r="M77" s="60" t="s">
        <v>61</v>
      </c>
    </row>
    <row r="78" spans="1:13" x14ac:dyDescent="0.2">
      <c r="A78" s="5" t="str">
        <f t="shared" si="1"/>
        <v/>
      </c>
      <c r="B78" s="37">
        <v>44116</v>
      </c>
      <c r="C78" s="40" t="s">
        <v>97</v>
      </c>
      <c r="D78" s="55" t="str">
        <f>IFERROR(IF(COV_TRACK[[#This Row],[Employee Name]]="","",VLOOKUP(COV_TRACK[[#This Row],[Employee Name]],Database!B:F,2,0)),"")</f>
        <v>EMP-00030</v>
      </c>
      <c r="E78" s="72">
        <f>IFERROR(IF(COV_TRACK[[#This Row],[Employee Name]]="","",VLOOKUP(COV_TRACK[[#This Row],[Employee Name]],Database!B:F,3,0)),"")</f>
        <v>38</v>
      </c>
      <c r="F78" s="55" t="str">
        <f>IFERROR(IF(COV_TRACK[[#This Row],[Employee Name]]="","",VLOOKUP(COV_TRACK[[#This Row],[Employee Name]],Database!B:F,4,0)),"")</f>
        <v>M</v>
      </c>
      <c r="G78" s="55" t="str">
        <f>IFERROR(IF(COV_TRACK[[#This Row],[Employee Name]]="","",VLOOKUP(COV_TRACK[[#This Row],[Employee Name]],Database!B:F,5,0)),"")</f>
        <v>QA</v>
      </c>
      <c r="H78" s="56">
        <v>37</v>
      </c>
      <c r="I78" s="57" t="str">
        <f>IFERROR(IF(COV_TRACK[[#This Row],[TEMP  Cº]]="","",IF(COV_TRACK[[#This Row],[TEMP  Cº]]&lt;=Database!$N$5,Database!$L$5,IF(COV_TRACK[[#This Row],[TEMP  Cº]]&lt;=Database!$N$6,Database!$L$6,IF(COV_TRACK[[#This Row],[TEMP  Cº]]&lt;=Database!$N$7,Database!$L$7,Database!$L$8)))),"")</f>
        <v>Normal</v>
      </c>
      <c r="J78" s="25" t="s">
        <v>279</v>
      </c>
      <c r="K78" s="58" t="s">
        <v>281</v>
      </c>
      <c r="L78" s="59" t="s">
        <v>280</v>
      </c>
      <c r="M78" s="60" t="s">
        <v>282</v>
      </c>
    </row>
    <row r="79" spans="1:13" x14ac:dyDescent="0.2">
      <c r="A79" s="5" t="str">
        <f t="shared" si="1"/>
        <v/>
      </c>
      <c r="B79" s="37">
        <v>43836</v>
      </c>
      <c r="C79" s="40" t="s">
        <v>122</v>
      </c>
      <c r="D79" s="55" t="str">
        <f>IFERROR(IF(COV_TRACK[[#This Row],[Employee Name]]="","",VLOOKUP(COV_TRACK[[#This Row],[Employee Name]],Database!B:F,2,0)),"")</f>
        <v>EMP-00055</v>
      </c>
      <c r="E79" s="72">
        <f>IFERROR(IF(COV_TRACK[[#This Row],[Employee Name]]="","",VLOOKUP(COV_TRACK[[#This Row],[Employee Name]],Database!B:F,3,0)),"")</f>
        <v>36</v>
      </c>
      <c r="F79" s="55" t="str">
        <f>IFERROR(IF(COV_TRACK[[#This Row],[Employee Name]]="","",VLOOKUP(COV_TRACK[[#This Row],[Employee Name]],Database!B:F,4,0)),"")</f>
        <v>F</v>
      </c>
      <c r="G79" s="55" t="str">
        <f>IFERROR(IF(COV_TRACK[[#This Row],[Employee Name]]="","",VLOOKUP(COV_TRACK[[#This Row],[Employee Name]],Database!B:F,5,0)),"")</f>
        <v>HR</v>
      </c>
      <c r="H79" s="56">
        <v>38</v>
      </c>
      <c r="I79" s="57" t="str">
        <f>IFERROR(IF(COV_TRACK[[#This Row],[TEMP  Cº]]="","",IF(COV_TRACK[[#This Row],[TEMP  Cº]]&lt;=Database!$N$5,Database!$L$5,IF(COV_TRACK[[#This Row],[TEMP  Cº]]&lt;=Database!$N$6,Database!$L$6,IF(COV_TRACK[[#This Row],[TEMP  Cº]]&lt;=Database!$N$7,Database!$L$7,Database!$L$8)))),"")</f>
        <v>Medium Risk</v>
      </c>
      <c r="J79" s="25" t="s">
        <v>280</v>
      </c>
      <c r="K79" s="58" t="s">
        <v>281</v>
      </c>
      <c r="L79" s="59" t="s">
        <v>280</v>
      </c>
      <c r="M79" s="60" t="s">
        <v>282</v>
      </c>
    </row>
    <row r="80" spans="1:13" x14ac:dyDescent="0.2">
      <c r="A80" s="5" t="str">
        <f t="shared" si="1"/>
        <v/>
      </c>
      <c r="B80" s="37">
        <v>44059</v>
      </c>
      <c r="C80" s="40" t="s">
        <v>97</v>
      </c>
      <c r="D80" s="55" t="str">
        <f>IFERROR(IF(COV_TRACK[[#This Row],[Employee Name]]="","",VLOOKUP(COV_TRACK[[#This Row],[Employee Name]],Database!B:F,2,0)),"")</f>
        <v>EMP-00030</v>
      </c>
      <c r="E80" s="72">
        <f>IFERROR(IF(COV_TRACK[[#This Row],[Employee Name]]="","",VLOOKUP(COV_TRACK[[#This Row],[Employee Name]],Database!B:F,3,0)),"")</f>
        <v>38</v>
      </c>
      <c r="F80" s="55" t="str">
        <f>IFERROR(IF(COV_TRACK[[#This Row],[Employee Name]]="","",VLOOKUP(COV_TRACK[[#This Row],[Employee Name]],Database!B:F,4,0)),"")</f>
        <v>M</v>
      </c>
      <c r="G80" s="55" t="str">
        <f>IFERROR(IF(COV_TRACK[[#This Row],[Employee Name]]="","",VLOOKUP(COV_TRACK[[#This Row],[Employee Name]],Database!B:F,5,0)),"")</f>
        <v>QA</v>
      </c>
      <c r="H80" s="56">
        <v>37</v>
      </c>
      <c r="I80" s="57" t="str">
        <f>IFERROR(IF(COV_TRACK[[#This Row],[TEMP  Cº]]="","",IF(COV_TRACK[[#This Row],[TEMP  Cº]]&lt;=Database!$N$5,Database!$L$5,IF(COV_TRACK[[#This Row],[TEMP  Cº]]&lt;=Database!$N$6,Database!$L$6,IF(COV_TRACK[[#This Row],[TEMP  Cº]]&lt;=Database!$N$7,Database!$L$7,Database!$L$8)))),"")</f>
        <v>Normal</v>
      </c>
      <c r="J80" s="25" t="s">
        <v>279</v>
      </c>
      <c r="K80" s="58" t="s">
        <v>281</v>
      </c>
      <c r="L80" s="59" t="s">
        <v>280</v>
      </c>
      <c r="M80" s="60" t="s">
        <v>282</v>
      </c>
    </row>
    <row r="81" spans="1:13" x14ac:dyDescent="0.2">
      <c r="A81" s="5" t="str">
        <f t="shared" si="1"/>
        <v/>
      </c>
      <c r="B81" s="37">
        <v>43914</v>
      </c>
      <c r="C81" s="40" t="s">
        <v>138</v>
      </c>
      <c r="D81" s="55" t="str">
        <f>IFERROR(IF(COV_TRACK[[#This Row],[Employee Name]]="","",VLOOKUP(COV_TRACK[[#This Row],[Employee Name]],Database!B:F,2,0)),"")</f>
        <v>EMP-00071</v>
      </c>
      <c r="E81" s="72">
        <f>IFERROR(IF(COV_TRACK[[#This Row],[Employee Name]]="","",VLOOKUP(COV_TRACK[[#This Row],[Employee Name]],Database!B:F,3,0)),"")</f>
        <v>30</v>
      </c>
      <c r="F81" s="55" t="str">
        <f>IFERROR(IF(COV_TRACK[[#This Row],[Employee Name]]="","",VLOOKUP(COV_TRACK[[#This Row],[Employee Name]],Database!B:F,4,0)),"")</f>
        <v>F</v>
      </c>
      <c r="G81" s="55" t="str">
        <f>IFERROR(IF(COV_TRACK[[#This Row],[Employee Name]]="","",VLOOKUP(COV_TRACK[[#This Row],[Employee Name]],Database!B:F,5,0)),"")</f>
        <v>Purchasing</v>
      </c>
      <c r="H81" s="56">
        <v>37</v>
      </c>
      <c r="I81" s="57" t="str">
        <f>IFERROR(IF(COV_TRACK[[#This Row],[TEMP  Cº]]="","",IF(COV_TRACK[[#This Row],[TEMP  Cº]]&lt;=Database!$N$5,Database!$L$5,IF(COV_TRACK[[#This Row],[TEMP  Cº]]&lt;=Database!$N$6,Database!$L$6,IF(COV_TRACK[[#This Row],[TEMP  Cº]]&lt;=Database!$N$7,Database!$L$7,Database!$L$8)))),"")</f>
        <v>Normal</v>
      </c>
      <c r="J81" s="25" t="s">
        <v>279</v>
      </c>
      <c r="K81" s="58" t="s">
        <v>79</v>
      </c>
      <c r="L81" s="59" t="s">
        <v>280</v>
      </c>
      <c r="M81" s="60" t="s">
        <v>284</v>
      </c>
    </row>
    <row r="82" spans="1:13" x14ac:dyDescent="0.2">
      <c r="A82" s="5" t="str">
        <f t="shared" si="1"/>
        <v/>
      </c>
      <c r="B82" s="37">
        <v>43938</v>
      </c>
      <c r="C82" s="40" t="s">
        <v>147</v>
      </c>
      <c r="D82" s="55" t="str">
        <f>IFERROR(IF(COV_TRACK[[#This Row],[Employee Name]]="","",VLOOKUP(COV_TRACK[[#This Row],[Employee Name]],Database!B:F,2,0)),"")</f>
        <v>EMP-00080</v>
      </c>
      <c r="E82" s="72">
        <f>IFERROR(IF(COV_TRACK[[#This Row],[Employee Name]]="","",VLOOKUP(COV_TRACK[[#This Row],[Employee Name]],Database!B:F,3,0)),"")</f>
        <v>32</v>
      </c>
      <c r="F82" s="55" t="str">
        <f>IFERROR(IF(COV_TRACK[[#This Row],[Employee Name]]="","",VLOOKUP(COV_TRACK[[#This Row],[Employee Name]],Database!B:F,4,0)),"")</f>
        <v>F</v>
      </c>
      <c r="G82" s="55" t="str">
        <f>IFERROR(IF(COV_TRACK[[#This Row],[Employee Name]]="","",VLOOKUP(COV_TRACK[[#This Row],[Employee Name]],Database!B:F,5,0)),"")</f>
        <v>Finance</v>
      </c>
      <c r="H82" s="56">
        <v>37</v>
      </c>
      <c r="I82" s="57" t="str">
        <f>IFERROR(IF(COV_TRACK[[#This Row],[TEMP  Cº]]="","",IF(COV_TRACK[[#This Row],[TEMP  Cº]]&lt;=Database!$N$5,Database!$L$5,IF(COV_TRACK[[#This Row],[TEMP  Cº]]&lt;=Database!$N$6,Database!$L$6,IF(COV_TRACK[[#This Row],[TEMP  Cº]]&lt;=Database!$N$7,Database!$L$7,Database!$L$8)))),"")</f>
        <v>Normal</v>
      </c>
      <c r="J82" s="25" t="s">
        <v>279</v>
      </c>
      <c r="K82" s="58" t="s">
        <v>281</v>
      </c>
      <c r="L82" s="59" t="s">
        <v>280</v>
      </c>
      <c r="M82" s="60" t="s">
        <v>282</v>
      </c>
    </row>
    <row r="83" spans="1:13" x14ac:dyDescent="0.2">
      <c r="A83" s="5" t="str">
        <f t="shared" si="1"/>
        <v/>
      </c>
      <c r="B83" s="37">
        <v>44038</v>
      </c>
      <c r="C83" s="40" t="s">
        <v>156</v>
      </c>
      <c r="D83" s="55" t="str">
        <f>IFERROR(IF(COV_TRACK[[#This Row],[Employee Name]]="","",VLOOKUP(COV_TRACK[[#This Row],[Employee Name]],Database!B:F,2,0)),"")</f>
        <v>EMP-00089</v>
      </c>
      <c r="E83" s="72">
        <f>IFERROR(IF(COV_TRACK[[#This Row],[Employee Name]]="","",VLOOKUP(COV_TRACK[[#This Row],[Employee Name]],Database!B:F,3,0)),"")</f>
        <v>29</v>
      </c>
      <c r="F83" s="55" t="str">
        <f>IFERROR(IF(COV_TRACK[[#This Row],[Employee Name]]="","",VLOOKUP(COV_TRACK[[#This Row],[Employee Name]],Database!B:F,4,0)),"")</f>
        <v>F</v>
      </c>
      <c r="G83" s="55" t="str">
        <f>IFERROR(IF(COV_TRACK[[#This Row],[Employee Name]]="","",VLOOKUP(COV_TRACK[[#This Row],[Employee Name]],Database!B:F,5,0)),"")</f>
        <v>HR</v>
      </c>
      <c r="H83" s="56">
        <v>37</v>
      </c>
      <c r="I83" s="57" t="str">
        <f>IFERROR(IF(COV_TRACK[[#This Row],[TEMP  Cº]]="","",IF(COV_TRACK[[#This Row],[TEMP  Cº]]&lt;=Database!$N$5,Database!$L$5,IF(COV_TRACK[[#This Row],[TEMP  Cº]]&lt;=Database!$N$6,Database!$L$6,IF(COV_TRACK[[#This Row],[TEMP  Cº]]&lt;=Database!$N$7,Database!$L$7,Database!$L$8)))),"")</f>
        <v>Normal</v>
      </c>
      <c r="J83" s="25" t="s">
        <v>279</v>
      </c>
      <c r="K83" s="58" t="s">
        <v>281</v>
      </c>
      <c r="L83" s="59" t="s">
        <v>280</v>
      </c>
      <c r="M83" s="60" t="s">
        <v>282</v>
      </c>
    </row>
    <row r="84" spans="1:13" x14ac:dyDescent="0.2">
      <c r="A84" s="5" t="str">
        <f t="shared" si="1"/>
        <v/>
      </c>
      <c r="B84" s="37">
        <v>44036</v>
      </c>
      <c r="C84" s="40" t="s">
        <v>142</v>
      </c>
      <c r="D84" s="55" t="str">
        <f>IFERROR(IF(COV_TRACK[[#This Row],[Employee Name]]="","",VLOOKUP(COV_TRACK[[#This Row],[Employee Name]],Database!B:F,2,0)),"")</f>
        <v>EMP-00075</v>
      </c>
      <c r="E84" s="72">
        <f>IFERROR(IF(COV_TRACK[[#This Row],[Employee Name]]="","",VLOOKUP(COV_TRACK[[#This Row],[Employee Name]],Database!B:F,3,0)),"")</f>
        <v>32</v>
      </c>
      <c r="F84" s="55" t="str">
        <f>IFERROR(IF(COV_TRACK[[#This Row],[Employee Name]]="","",VLOOKUP(COV_TRACK[[#This Row],[Employee Name]],Database!B:F,4,0)),"")</f>
        <v>M</v>
      </c>
      <c r="G84" s="55" t="str">
        <f>IFERROR(IF(COV_TRACK[[#This Row],[Employee Name]]="","",VLOOKUP(COV_TRACK[[#This Row],[Employee Name]],Database!B:F,5,0)),"")</f>
        <v>Delivery</v>
      </c>
      <c r="H84" s="56">
        <v>38</v>
      </c>
      <c r="I84" s="57" t="str">
        <f>IFERROR(IF(COV_TRACK[[#This Row],[TEMP  Cº]]="","",IF(COV_TRACK[[#This Row],[TEMP  Cº]]&lt;=Database!$N$5,Database!$L$5,IF(COV_TRACK[[#This Row],[TEMP  Cº]]&lt;=Database!$N$6,Database!$L$6,IF(COV_TRACK[[#This Row],[TEMP  Cº]]&lt;=Database!$N$7,Database!$L$7,Database!$L$8)))),"")</f>
        <v>Medium Risk</v>
      </c>
      <c r="J84" s="25" t="s">
        <v>279</v>
      </c>
      <c r="K84" s="58" t="s">
        <v>281</v>
      </c>
      <c r="L84" s="59" t="s">
        <v>280</v>
      </c>
      <c r="M84" s="60" t="s">
        <v>282</v>
      </c>
    </row>
    <row r="85" spans="1:13" x14ac:dyDescent="0.2">
      <c r="A85" s="5" t="str">
        <f t="shared" si="1"/>
        <v/>
      </c>
      <c r="B85" s="37">
        <v>43888</v>
      </c>
      <c r="C85" s="40" t="s">
        <v>123</v>
      </c>
      <c r="D85" s="55" t="str">
        <f>IFERROR(IF(COV_TRACK[[#This Row],[Employee Name]]="","",VLOOKUP(COV_TRACK[[#This Row],[Employee Name]],Database!B:F,2,0)),"")</f>
        <v>EMP-00056</v>
      </c>
      <c r="E85" s="72">
        <f>IFERROR(IF(COV_TRACK[[#This Row],[Employee Name]]="","",VLOOKUP(COV_TRACK[[#This Row],[Employee Name]],Database!B:F,3,0)),"")</f>
        <v>36</v>
      </c>
      <c r="F85" s="55" t="str">
        <f>IFERROR(IF(COV_TRACK[[#This Row],[Employee Name]]="","",VLOOKUP(COV_TRACK[[#This Row],[Employee Name]],Database!B:F,4,0)),"")</f>
        <v>M</v>
      </c>
      <c r="G85" s="55" t="str">
        <f>IFERROR(IF(COV_TRACK[[#This Row],[Employee Name]]="","",VLOOKUP(COV_TRACK[[#This Row],[Employee Name]],Database!B:F,5,0)),"")</f>
        <v>Planning</v>
      </c>
      <c r="H85" s="56">
        <v>38</v>
      </c>
      <c r="I85" s="57" t="str">
        <f>IFERROR(IF(COV_TRACK[[#This Row],[TEMP  Cº]]="","",IF(COV_TRACK[[#This Row],[TEMP  Cº]]&lt;=Database!$N$5,Database!$L$5,IF(COV_TRACK[[#This Row],[TEMP  Cº]]&lt;=Database!$N$6,Database!$L$6,IF(COV_TRACK[[#This Row],[TEMP  Cº]]&lt;=Database!$N$7,Database!$L$7,Database!$L$8)))),"")</f>
        <v>Medium Risk</v>
      </c>
      <c r="J85" s="25" t="s">
        <v>279</v>
      </c>
      <c r="K85" s="58" t="s">
        <v>281</v>
      </c>
      <c r="L85" s="59" t="s">
        <v>280</v>
      </c>
      <c r="M85" s="60" t="s">
        <v>282</v>
      </c>
    </row>
    <row r="86" spans="1:13" x14ac:dyDescent="0.2">
      <c r="A86" s="5" t="str">
        <f t="shared" si="1"/>
        <v/>
      </c>
      <c r="B86" s="37">
        <v>44178</v>
      </c>
      <c r="C86" s="40" t="s">
        <v>145</v>
      </c>
      <c r="D86" s="55" t="str">
        <f>IFERROR(IF(COV_TRACK[[#This Row],[Employee Name]]="","",VLOOKUP(COV_TRACK[[#This Row],[Employee Name]],Database!B:F,2,0)),"")</f>
        <v>EMP-00078</v>
      </c>
      <c r="E86" s="72">
        <f>IFERROR(IF(COV_TRACK[[#This Row],[Employee Name]]="","",VLOOKUP(COV_TRACK[[#This Row],[Employee Name]],Database!B:F,3,0)),"")</f>
        <v>38</v>
      </c>
      <c r="F86" s="55" t="str">
        <f>IFERROR(IF(COV_TRACK[[#This Row],[Employee Name]]="","",VLOOKUP(COV_TRACK[[#This Row],[Employee Name]],Database!B:F,4,0)),"")</f>
        <v>M</v>
      </c>
      <c r="G86" s="55" t="str">
        <f>IFERROR(IF(COV_TRACK[[#This Row],[Employee Name]]="","",VLOOKUP(COV_TRACK[[#This Row],[Employee Name]],Database!B:F,5,0)),"")</f>
        <v>QA</v>
      </c>
      <c r="H86" s="56">
        <v>38</v>
      </c>
      <c r="I86" s="57" t="str">
        <f>IFERROR(IF(COV_TRACK[[#This Row],[TEMP  Cº]]="","",IF(COV_TRACK[[#This Row],[TEMP  Cº]]&lt;=Database!$N$5,Database!$L$5,IF(COV_TRACK[[#This Row],[TEMP  Cº]]&lt;=Database!$N$6,Database!$L$6,IF(COV_TRACK[[#This Row],[TEMP  Cº]]&lt;=Database!$N$7,Database!$L$7,Database!$L$8)))),"")</f>
        <v>Medium Risk</v>
      </c>
      <c r="J86" s="25" t="s">
        <v>279</v>
      </c>
      <c r="K86" s="58" t="s">
        <v>281</v>
      </c>
      <c r="L86" s="59" t="s">
        <v>280</v>
      </c>
      <c r="M86" s="60" t="s">
        <v>282</v>
      </c>
    </row>
    <row r="87" spans="1:13" x14ac:dyDescent="0.2">
      <c r="A87" s="5" t="str">
        <f t="shared" si="1"/>
        <v/>
      </c>
      <c r="B87" s="37">
        <v>44017</v>
      </c>
      <c r="C87" s="40" t="s">
        <v>121</v>
      </c>
      <c r="D87" s="55" t="str">
        <f>IFERROR(IF(COV_TRACK[[#This Row],[Employee Name]]="","",VLOOKUP(COV_TRACK[[#This Row],[Employee Name]],Database!B:F,2,0)),"")</f>
        <v>EMP-00054</v>
      </c>
      <c r="E87" s="72">
        <f>IFERROR(IF(COV_TRACK[[#This Row],[Employee Name]]="","",VLOOKUP(COV_TRACK[[#This Row],[Employee Name]],Database!B:F,3,0)),"")</f>
        <v>35</v>
      </c>
      <c r="F87" s="55" t="str">
        <f>IFERROR(IF(COV_TRACK[[#This Row],[Employee Name]]="","",VLOOKUP(COV_TRACK[[#This Row],[Employee Name]],Database!B:F,4,0)),"")</f>
        <v>M</v>
      </c>
      <c r="G87" s="55" t="str">
        <f>IFERROR(IF(COV_TRACK[[#This Row],[Employee Name]]="","",VLOOKUP(COV_TRACK[[#This Row],[Employee Name]],Database!B:F,5,0)),"")</f>
        <v>Production</v>
      </c>
      <c r="H87" s="56">
        <v>38</v>
      </c>
      <c r="I87" s="57" t="str">
        <f>IFERROR(IF(COV_TRACK[[#This Row],[TEMP  Cº]]="","",IF(COV_TRACK[[#This Row],[TEMP  Cº]]&lt;=Database!$N$5,Database!$L$5,IF(COV_TRACK[[#This Row],[TEMP  Cº]]&lt;=Database!$N$6,Database!$L$6,IF(COV_TRACK[[#This Row],[TEMP  Cº]]&lt;=Database!$N$7,Database!$L$7,Database!$L$8)))),"")</f>
        <v>Medium Risk</v>
      </c>
      <c r="J87" s="25" t="s">
        <v>279</v>
      </c>
      <c r="K87" s="58" t="s">
        <v>281</v>
      </c>
      <c r="L87" s="59" t="s">
        <v>280</v>
      </c>
      <c r="M87" s="60" t="s">
        <v>282</v>
      </c>
    </row>
    <row r="88" spans="1:13" x14ac:dyDescent="0.2">
      <c r="A88" s="5" t="str">
        <f t="shared" si="1"/>
        <v/>
      </c>
      <c r="B88" s="37">
        <v>43920</v>
      </c>
      <c r="C88" s="40" t="s">
        <v>130</v>
      </c>
      <c r="D88" s="55" t="str">
        <f>IFERROR(IF(COV_TRACK[[#This Row],[Employee Name]]="","",VLOOKUP(COV_TRACK[[#This Row],[Employee Name]],Database!B:F,2,0)),"")</f>
        <v>EMP-00063</v>
      </c>
      <c r="E88" s="72">
        <f>IFERROR(IF(COV_TRACK[[#This Row],[Employee Name]]="","",VLOOKUP(COV_TRACK[[#This Row],[Employee Name]],Database!B:F,3,0)),"")</f>
        <v>32</v>
      </c>
      <c r="F88" s="55" t="str">
        <f>IFERROR(IF(COV_TRACK[[#This Row],[Employee Name]]="","",VLOOKUP(COV_TRACK[[#This Row],[Employee Name]],Database!B:F,4,0)),"")</f>
        <v>F</v>
      </c>
      <c r="G88" s="55" t="str">
        <f>IFERROR(IF(COV_TRACK[[#This Row],[Employee Name]]="","",VLOOKUP(COV_TRACK[[#This Row],[Employee Name]],Database!B:F,5,0)),"")</f>
        <v>Production</v>
      </c>
      <c r="H88" s="56">
        <v>38</v>
      </c>
      <c r="I88" s="57" t="str">
        <f>IFERROR(IF(COV_TRACK[[#This Row],[TEMP  Cº]]="","",IF(COV_TRACK[[#This Row],[TEMP  Cº]]&lt;=Database!$N$5,Database!$L$5,IF(COV_TRACK[[#This Row],[TEMP  Cº]]&lt;=Database!$N$6,Database!$L$6,IF(COV_TRACK[[#This Row],[TEMP  Cº]]&lt;=Database!$N$7,Database!$L$7,Database!$L$8)))),"")</f>
        <v>Medium Risk</v>
      </c>
      <c r="J88" s="25" t="s">
        <v>279</v>
      </c>
      <c r="K88" s="58" t="s">
        <v>281</v>
      </c>
      <c r="L88" s="59" t="s">
        <v>280</v>
      </c>
      <c r="M88" s="60" t="s">
        <v>282</v>
      </c>
    </row>
    <row r="89" spans="1:13" x14ac:dyDescent="0.2">
      <c r="A89" s="5" t="str">
        <f t="shared" si="1"/>
        <v/>
      </c>
      <c r="B89" s="37">
        <v>44081</v>
      </c>
      <c r="C89" s="40" t="s">
        <v>28</v>
      </c>
      <c r="D89" s="55" t="str">
        <f>IFERROR(IF(COV_TRACK[[#This Row],[Employee Name]]="","",VLOOKUP(COV_TRACK[[#This Row],[Employee Name]],Database!B:F,2,0)),"")</f>
        <v>EMP-00001</v>
      </c>
      <c r="E89" s="72">
        <f>IFERROR(IF(COV_TRACK[[#This Row],[Employee Name]]="","",VLOOKUP(COV_TRACK[[#This Row],[Employee Name]],Database!B:F,3,0)),"")</f>
        <v>32</v>
      </c>
      <c r="F89" s="55" t="str">
        <f>IFERROR(IF(COV_TRACK[[#This Row],[Employee Name]]="","",VLOOKUP(COV_TRACK[[#This Row],[Employee Name]],Database!B:F,4,0)),"")</f>
        <v>M</v>
      </c>
      <c r="G89" s="55" t="str">
        <f>IFERROR(IF(COV_TRACK[[#This Row],[Employee Name]]="","",VLOOKUP(COV_TRACK[[#This Row],[Employee Name]],Database!B:F,5,0)),"")</f>
        <v>QA</v>
      </c>
      <c r="H89" s="56">
        <v>37</v>
      </c>
      <c r="I89" s="57" t="str">
        <f>IFERROR(IF(COV_TRACK[[#This Row],[TEMP  Cº]]="","",IF(COV_TRACK[[#This Row],[TEMP  Cº]]&lt;=Database!$N$5,Database!$L$5,IF(COV_TRACK[[#This Row],[TEMP  Cº]]&lt;=Database!$N$6,Database!$L$6,IF(COV_TRACK[[#This Row],[TEMP  Cº]]&lt;=Database!$N$7,Database!$L$7,Database!$L$8)))),"")</f>
        <v>Normal</v>
      </c>
      <c r="J89" s="25" t="s">
        <v>279</v>
      </c>
      <c r="K89" s="58" t="s">
        <v>281</v>
      </c>
      <c r="L89" s="59" t="s">
        <v>280</v>
      </c>
      <c r="M89" s="60" t="s">
        <v>282</v>
      </c>
    </row>
    <row r="90" spans="1:13" x14ac:dyDescent="0.2">
      <c r="A90" s="5" t="str">
        <f t="shared" si="1"/>
        <v/>
      </c>
      <c r="B90" s="37">
        <v>44126</v>
      </c>
      <c r="C90" s="40" t="s">
        <v>162</v>
      </c>
      <c r="D90" s="55" t="str">
        <f>IFERROR(IF(COV_TRACK[[#This Row],[Employee Name]]="","",VLOOKUP(COV_TRACK[[#This Row],[Employee Name]],Database!B:F,2,0)),"")</f>
        <v>EMP-00095</v>
      </c>
      <c r="E90" s="72">
        <f>IFERROR(IF(COV_TRACK[[#This Row],[Employee Name]]="","",VLOOKUP(COV_TRACK[[#This Row],[Employee Name]],Database!B:F,3,0)),"")</f>
        <v>38</v>
      </c>
      <c r="F90" s="55" t="str">
        <f>IFERROR(IF(COV_TRACK[[#This Row],[Employee Name]]="","",VLOOKUP(COV_TRACK[[#This Row],[Employee Name]],Database!B:F,4,0)),"")</f>
        <v>M</v>
      </c>
      <c r="G90" s="55" t="str">
        <f>IFERROR(IF(COV_TRACK[[#This Row],[Employee Name]]="","",VLOOKUP(COV_TRACK[[#This Row],[Employee Name]],Database!B:F,5,0)),"")</f>
        <v>Production</v>
      </c>
      <c r="H90" s="56">
        <v>38</v>
      </c>
      <c r="I90" s="57" t="str">
        <f>IFERROR(IF(COV_TRACK[[#This Row],[TEMP  Cº]]="","",IF(COV_TRACK[[#This Row],[TEMP  Cº]]&lt;=Database!$N$5,Database!$L$5,IF(COV_TRACK[[#This Row],[TEMP  Cº]]&lt;=Database!$N$6,Database!$L$6,IF(COV_TRACK[[#This Row],[TEMP  Cº]]&lt;=Database!$N$7,Database!$L$7,Database!$L$8)))),"")</f>
        <v>Medium Risk</v>
      </c>
      <c r="J90" s="25" t="s">
        <v>279</v>
      </c>
      <c r="K90" s="58" t="s">
        <v>281</v>
      </c>
      <c r="L90" s="59" t="s">
        <v>280</v>
      </c>
      <c r="M90" s="60" t="s">
        <v>282</v>
      </c>
    </row>
    <row r="91" spans="1:13" x14ac:dyDescent="0.2">
      <c r="A91" s="5" t="str">
        <f t="shared" si="1"/>
        <v/>
      </c>
      <c r="B91" s="37">
        <v>44070</v>
      </c>
      <c r="C91" s="40" t="s">
        <v>113</v>
      </c>
      <c r="D91" s="55" t="str">
        <f>IFERROR(IF(COV_TRACK[[#This Row],[Employee Name]]="","",VLOOKUP(COV_TRACK[[#This Row],[Employee Name]],Database!B:F,2,0)),"")</f>
        <v>EMP-00046</v>
      </c>
      <c r="E91" s="72">
        <f>IFERROR(IF(COV_TRACK[[#This Row],[Employee Name]]="","",VLOOKUP(COV_TRACK[[#This Row],[Employee Name]],Database!B:F,3,0)),"")</f>
        <v>38</v>
      </c>
      <c r="F91" s="55" t="str">
        <f>IFERROR(IF(COV_TRACK[[#This Row],[Employee Name]]="","",VLOOKUP(COV_TRACK[[#This Row],[Employee Name]],Database!B:F,4,0)),"")</f>
        <v>M</v>
      </c>
      <c r="G91" s="55" t="str">
        <f>IFERROR(IF(COV_TRACK[[#This Row],[Employee Name]]="","",VLOOKUP(COV_TRACK[[#This Row],[Employee Name]],Database!B:F,5,0)),"")</f>
        <v>QA</v>
      </c>
      <c r="H91" s="56">
        <v>37</v>
      </c>
      <c r="I91" s="57" t="str">
        <f>IFERROR(IF(COV_TRACK[[#This Row],[TEMP  Cº]]="","",IF(COV_TRACK[[#This Row],[TEMP  Cº]]&lt;=Database!$N$5,Database!$L$5,IF(COV_TRACK[[#This Row],[TEMP  Cº]]&lt;=Database!$N$6,Database!$L$6,IF(COV_TRACK[[#This Row],[TEMP  Cº]]&lt;=Database!$N$7,Database!$L$7,Database!$L$8)))),"")</f>
        <v>Normal</v>
      </c>
      <c r="J91" s="25" t="s">
        <v>279</v>
      </c>
      <c r="K91" s="58" t="s">
        <v>281</v>
      </c>
      <c r="L91" s="59" t="s">
        <v>279</v>
      </c>
      <c r="M91" s="60" t="s">
        <v>282</v>
      </c>
    </row>
    <row r="92" spans="1:13" x14ac:dyDescent="0.2">
      <c r="A92" s="5" t="str">
        <f t="shared" si="1"/>
        <v/>
      </c>
      <c r="B92" s="37">
        <v>44042</v>
      </c>
      <c r="C92" s="40" t="s">
        <v>32</v>
      </c>
      <c r="D92" s="55" t="str">
        <f>IFERROR(IF(COV_TRACK[[#This Row],[Employee Name]]="","",VLOOKUP(COV_TRACK[[#This Row],[Employee Name]],Database!B:F,2,0)),"")</f>
        <v>EMP-00005</v>
      </c>
      <c r="E92" s="72">
        <f>IFERROR(IF(COV_TRACK[[#This Row],[Employee Name]]="","",VLOOKUP(COV_TRACK[[#This Row],[Employee Name]],Database!B:F,3,0)),"")</f>
        <v>36</v>
      </c>
      <c r="F92" s="55" t="str">
        <f>IFERROR(IF(COV_TRACK[[#This Row],[Employee Name]]="","",VLOOKUP(COV_TRACK[[#This Row],[Employee Name]],Database!B:F,4,0)),"")</f>
        <v>M</v>
      </c>
      <c r="G92" s="55" t="str">
        <f>IFERROR(IF(COV_TRACK[[#This Row],[Employee Name]]="","",VLOOKUP(COV_TRACK[[#This Row],[Employee Name]],Database!B:F,5,0)),"")</f>
        <v>Finance</v>
      </c>
      <c r="H92" s="56">
        <v>38</v>
      </c>
      <c r="I92" s="57" t="str">
        <f>IFERROR(IF(COV_TRACK[[#This Row],[TEMP  Cº]]="","",IF(COV_TRACK[[#This Row],[TEMP  Cº]]&lt;=Database!$N$5,Database!$L$5,IF(COV_TRACK[[#This Row],[TEMP  Cº]]&lt;=Database!$N$6,Database!$L$6,IF(COV_TRACK[[#This Row],[TEMP  Cº]]&lt;=Database!$N$7,Database!$L$7,Database!$L$8)))),"")</f>
        <v>Medium Risk</v>
      </c>
      <c r="J92" s="25" t="s">
        <v>279</v>
      </c>
      <c r="K92" s="58" t="s">
        <v>79</v>
      </c>
      <c r="L92" s="59" t="s">
        <v>280</v>
      </c>
      <c r="M92" s="60" t="s">
        <v>282</v>
      </c>
    </row>
    <row r="93" spans="1:13" x14ac:dyDescent="0.2">
      <c r="A93" s="5" t="str">
        <f t="shared" si="1"/>
        <v/>
      </c>
      <c r="B93" s="37">
        <v>44103</v>
      </c>
      <c r="C93" s="40" t="s">
        <v>153</v>
      </c>
      <c r="D93" s="55" t="str">
        <f>IFERROR(IF(COV_TRACK[[#This Row],[Employee Name]]="","",VLOOKUP(COV_TRACK[[#This Row],[Employee Name]],Database!B:F,2,0)),"")</f>
        <v>EMP-00086</v>
      </c>
      <c r="E93" s="72">
        <f>IFERROR(IF(COV_TRACK[[#This Row],[Employee Name]]="","",VLOOKUP(COV_TRACK[[#This Row],[Employee Name]],Database!B:F,3,0)),"")</f>
        <v>34</v>
      </c>
      <c r="F93" s="55" t="str">
        <f>IFERROR(IF(COV_TRACK[[#This Row],[Employee Name]]="","",VLOOKUP(COV_TRACK[[#This Row],[Employee Name]],Database!B:F,4,0)),"")</f>
        <v>F</v>
      </c>
      <c r="G93" s="55" t="str">
        <f>IFERROR(IF(COV_TRACK[[#This Row],[Employee Name]]="","",VLOOKUP(COV_TRACK[[#This Row],[Employee Name]],Database!B:F,5,0)),"")</f>
        <v>Planning</v>
      </c>
      <c r="H93" s="56">
        <v>37</v>
      </c>
      <c r="I93" s="57" t="str">
        <f>IFERROR(IF(COV_TRACK[[#This Row],[TEMP  Cº]]="","",IF(COV_TRACK[[#This Row],[TEMP  Cº]]&lt;=Database!$N$5,Database!$L$5,IF(COV_TRACK[[#This Row],[TEMP  Cº]]&lt;=Database!$N$6,Database!$L$6,IF(COV_TRACK[[#This Row],[TEMP  Cº]]&lt;=Database!$N$7,Database!$L$7,Database!$L$8)))),"")</f>
        <v>Normal</v>
      </c>
      <c r="J93" s="25" t="s">
        <v>279</v>
      </c>
      <c r="K93" s="58" t="s">
        <v>281</v>
      </c>
      <c r="L93" s="59" t="s">
        <v>280</v>
      </c>
      <c r="M93" s="60" t="s">
        <v>282</v>
      </c>
    </row>
    <row r="94" spans="1:13" x14ac:dyDescent="0.2">
      <c r="A94" s="5" t="str">
        <f t="shared" si="1"/>
        <v/>
      </c>
      <c r="B94" s="37">
        <v>44081</v>
      </c>
      <c r="C94" s="40" t="s">
        <v>171</v>
      </c>
      <c r="D94" s="55" t="str">
        <f>IFERROR(IF(COV_TRACK[[#This Row],[Employee Name]]="","",VLOOKUP(COV_TRACK[[#This Row],[Employee Name]],Database!B:F,2,0)),"")</f>
        <v>EMP-00104</v>
      </c>
      <c r="E94" s="72">
        <f>IFERROR(IF(COV_TRACK[[#This Row],[Employee Name]]="","",VLOOKUP(COV_TRACK[[#This Row],[Employee Name]],Database!B:F,3,0)),"")</f>
        <v>32</v>
      </c>
      <c r="F94" s="55" t="str">
        <f>IFERROR(IF(COV_TRACK[[#This Row],[Employee Name]]="","",VLOOKUP(COV_TRACK[[#This Row],[Employee Name]],Database!B:F,4,0)),"")</f>
        <v>F</v>
      </c>
      <c r="G94" s="55" t="str">
        <f>IFERROR(IF(COV_TRACK[[#This Row],[Employee Name]]="","",VLOOKUP(COV_TRACK[[#This Row],[Employee Name]],Database!B:F,5,0)),"")</f>
        <v>Production</v>
      </c>
      <c r="H94" s="56">
        <v>38</v>
      </c>
      <c r="I94" s="57" t="str">
        <f>IFERROR(IF(COV_TRACK[[#This Row],[TEMP  Cº]]="","",IF(COV_TRACK[[#This Row],[TEMP  Cº]]&lt;=Database!$N$5,Database!$L$5,IF(COV_TRACK[[#This Row],[TEMP  Cº]]&lt;=Database!$N$6,Database!$L$6,IF(COV_TRACK[[#This Row],[TEMP  Cº]]&lt;=Database!$N$7,Database!$L$7,Database!$L$8)))),"")</f>
        <v>Medium Risk</v>
      </c>
      <c r="J94" s="25" t="s">
        <v>279</v>
      </c>
      <c r="K94" s="58" t="s">
        <v>281</v>
      </c>
      <c r="L94" s="59" t="s">
        <v>280</v>
      </c>
      <c r="M94" s="60" t="s">
        <v>282</v>
      </c>
    </row>
    <row r="95" spans="1:13" x14ac:dyDescent="0.2">
      <c r="A95" s="5" t="str">
        <f t="shared" si="1"/>
        <v/>
      </c>
      <c r="B95" s="37">
        <v>44137</v>
      </c>
      <c r="C95" s="40" t="s">
        <v>115</v>
      </c>
      <c r="D95" s="55" t="str">
        <f>IFERROR(IF(COV_TRACK[[#This Row],[Employee Name]]="","",VLOOKUP(COV_TRACK[[#This Row],[Employee Name]],Database!B:F,2,0)),"")</f>
        <v>EMP-00048</v>
      </c>
      <c r="E95" s="72">
        <f>IFERROR(IF(COV_TRACK[[#This Row],[Employee Name]]="","",VLOOKUP(COV_TRACK[[#This Row],[Employee Name]],Database!B:F,3,0)),"")</f>
        <v>26</v>
      </c>
      <c r="F95" s="55" t="str">
        <f>IFERROR(IF(COV_TRACK[[#This Row],[Employee Name]]="","",VLOOKUP(COV_TRACK[[#This Row],[Employee Name]],Database!B:F,4,0)),"")</f>
        <v>F</v>
      </c>
      <c r="G95" s="55" t="str">
        <f>IFERROR(IF(COV_TRACK[[#This Row],[Employee Name]]="","",VLOOKUP(COV_TRACK[[#This Row],[Employee Name]],Database!B:F,5,0)),"")</f>
        <v>Warehouse</v>
      </c>
      <c r="H95" s="56">
        <v>40</v>
      </c>
      <c r="I95" s="57" t="str">
        <f>IFERROR(IF(COV_TRACK[[#This Row],[TEMP  Cº]]="","",IF(COV_TRACK[[#This Row],[TEMP  Cº]]&lt;=Database!$N$5,Database!$L$5,IF(COV_TRACK[[#This Row],[TEMP  Cº]]&lt;=Database!$N$6,Database!$L$6,IF(COV_TRACK[[#This Row],[TEMP  Cº]]&lt;=Database!$N$7,Database!$L$7,Database!$L$8)))),"")</f>
        <v>Very High Risk</v>
      </c>
      <c r="J95" s="25" t="s">
        <v>279</v>
      </c>
      <c r="K95" s="58" t="s">
        <v>281</v>
      </c>
      <c r="L95" s="59" t="s">
        <v>279</v>
      </c>
      <c r="M95" s="60" t="s">
        <v>282</v>
      </c>
    </row>
    <row r="96" spans="1:13" x14ac:dyDescent="0.2">
      <c r="A96" s="5" t="str">
        <f t="shared" si="1"/>
        <v/>
      </c>
      <c r="B96" s="37">
        <v>43936</v>
      </c>
      <c r="C96" s="40" t="s">
        <v>169</v>
      </c>
      <c r="D96" s="55" t="str">
        <f>IFERROR(IF(COV_TRACK[[#This Row],[Employee Name]]="","",VLOOKUP(COV_TRACK[[#This Row],[Employee Name]],Database!B:F,2,0)),"")</f>
        <v>EMP-00102</v>
      </c>
      <c r="E96" s="72">
        <f>IFERROR(IF(COV_TRACK[[#This Row],[Employee Name]]="","",VLOOKUP(COV_TRACK[[#This Row],[Employee Name]],Database!B:F,3,0)),"")</f>
        <v>26</v>
      </c>
      <c r="F96" s="55" t="str">
        <f>IFERROR(IF(COV_TRACK[[#This Row],[Employee Name]]="","",VLOOKUP(COV_TRACK[[#This Row],[Employee Name]],Database!B:F,4,0)),"")</f>
        <v>F</v>
      </c>
      <c r="G96" s="55" t="str">
        <f>IFERROR(IF(COV_TRACK[[#This Row],[Employee Name]]="","",VLOOKUP(COV_TRACK[[#This Row],[Employee Name]],Database!B:F,5,0)),"")</f>
        <v>Warehouse</v>
      </c>
      <c r="H96" s="56">
        <v>38</v>
      </c>
      <c r="I96" s="57" t="str">
        <f>IFERROR(IF(COV_TRACK[[#This Row],[TEMP  Cº]]="","",IF(COV_TRACK[[#This Row],[TEMP  Cº]]&lt;=Database!$N$5,Database!$L$5,IF(COV_TRACK[[#This Row],[TEMP  Cº]]&lt;=Database!$N$6,Database!$L$6,IF(COV_TRACK[[#This Row],[TEMP  Cº]]&lt;=Database!$N$7,Database!$L$7,Database!$L$8)))),"")</f>
        <v>Medium Risk</v>
      </c>
      <c r="J96" s="25" t="s">
        <v>279</v>
      </c>
      <c r="K96" s="58" t="s">
        <v>281</v>
      </c>
      <c r="L96" s="59" t="s">
        <v>280</v>
      </c>
      <c r="M96" s="60" t="s">
        <v>282</v>
      </c>
    </row>
    <row r="97" spans="1:13" x14ac:dyDescent="0.2">
      <c r="A97" s="5" t="str">
        <f t="shared" si="1"/>
        <v/>
      </c>
      <c r="B97" s="37">
        <v>43920</v>
      </c>
      <c r="C97" s="40" t="s">
        <v>104</v>
      </c>
      <c r="D97" s="55" t="str">
        <f>IFERROR(IF(COV_TRACK[[#This Row],[Employee Name]]="","",VLOOKUP(COV_TRACK[[#This Row],[Employee Name]],Database!B:F,2,0)),"")</f>
        <v>EMP-00037</v>
      </c>
      <c r="E97" s="72">
        <f>IFERROR(IF(COV_TRACK[[#This Row],[Employee Name]]="","",VLOOKUP(COV_TRACK[[#This Row],[Employee Name]],Database!B:F,3,0)),"")</f>
        <v>29</v>
      </c>
      <c r="F97" s="55" t="str">
        <f>IFERROR(IF(COV_TRACK[[#This Row],[Employee Name]]="","",VLOOKUP(COV_TRACK[[#This Row],[Employee Name]],Database!B:F,4,0)),"")</f>
        <v>F</v>
      </c>
      <c r="G97" s="55" t="str">
        <f>IFERROR(IF(COV_TRACK[[#This Row],[Employee Name]]="","",VLOOKUP(COV_TRACK[[#This Row],[Employee Name]],Database!B:F,5,0)),"")</f>
        <v>Planning</v>
      </c>
      <c r="H97" s="56">
        <v>38</v>
      </c>
      <c r="I97" s="57" t="str">
        <f>IFERROR(IF(COV_TRACK[[#This Row],[TEMP  Cº]]="","",IF(COV_TRACK[[#This Row],[TEMP  Cº]]&lt;=Database!$N$5,Database!$L$5,IF(COV_TRACK[[#This Row],[TEMP  Cº]]&lt;=Database!$N$6,Database!$L$6,IF(COV_TRACK[[#This Row],[TEMP  Cº]]&lt;=Database!$N$7,Database!$L$7,Database!$L$8)))),"")</f>
        <v>Medium Risk</v>
      </c>
      <c r="J97" s="25" t="s">
        <v>279</v>
      </c>
      <c r="K97" s="58" t="s">
        <v>79</v>
      </c>
      <c r="L97" s="59" t="s">
        <v>280</v>
      </c>
      <c r="M97" s="60" t="s">
        <v>282</v>
      </c>
    </row>
    <row r="98" spans="1:13" x14ac:dyDescent="0.2">
      <c r="A98" s="5" t="str">
        <f t="shared" si="1"/>
        <v/>
      </c>
      <c r="B98" s="37">
        <v>44097</v>
      </c>
      <c r="C98" s="40" t="s">
        <v>166</v>
      </c>
      <c r="D98" s="55" t="str">
        <f>IFERROR(IF(COV_TRACK[[#This Row],[Employee Name]]="","",VLOOKUP(COV_TRACK[[#This Row],[Employee Name]],Database!B:F,2,0)),"")</f>
        <v>EMP-00099</v>
      </c>
      <c r="E98" s="72">
        <f>IFERROR(IF(COV_TRACK[[#This Row],[Employee Name]]="","",VLOOKUP(COV_TRACK[[#This Row],[Employee Name]],Database!B:F,3,0)),"")</f>
        <v>25</v>
      </c>
      <c r="F98" s="55" t="str">
        <f>IFERROR(IF(COV_TRACK[[#This Row],[Employee Name]]="","",VLOOKUP(COV_TRACK[[#This Row],[Employee Name]],Database!B:F,4,0)),"")</f>
        <v>F</v>
      </c>
      <c r="G98" s="55" t="str">
        <f>IFERROR(IF(COV_TRACK[[#This Row],[Employee Name]]="","",VLOOKUP(COV_TRACK[[#This Row],[Employee Name]],Database!B:F,5,0)),"")</f>
        <v>Delivery</v>
      </c>
      <c r="H98" s="56">
        <v>40</v>
      </c>
      <c r="I98" s="57" t="str">
        <f>IFERROR(IF(COV_TRACK[[#This Row],[TEMP  Cº]]="","",IF(COV_TRACK[[#This Row],[TEMP  Cº]]&lt;=Database!$N$5,Database!$L$5,IF(COV_TRACK[[#This Row],[TEMP  Cº]]&lt;=Database!$N$6,Database!$L$6,IF(COV_TRACK[[#This Row],[TEMP  Cº]]&lt;=Database!$N$7,Database!$L$7,Database!$L$8)))),"")</f>
        <v>Very High Risk</v>
      </c>
      <c r="J98" s="25" t="s">
        <v>279</v>
      </c>
      <c r="K98" s="58" t="s">
        <v>281</v>
      </c>
      <c r="L98" s="59" t="s">
        <v>279</v>
      </c>
      <c r="M98" s="60" t="s">
        <v>282</v>
      </c>
    </row>
    <row r="99" spans="1:13" x14ac:dyDescent="0.2">
      <c r="A99" s="5" t="str">
        <f t="shared" si="1"/>
        <v/>
      </c>
      <c r="B99" s="37">
        <v>44164</v>
      </c>
      <c r="C99" s="40" t="s">
        <v>159</v>
      </c>
      <c r="D99" s="55" t="str">
        <f>IFERROR(IF(COV_TRACK[[#This Row],[Employee Name]]="","",VLOOKUP(COV_TRACK[[#This Row],[Employee Name]],Database!B:F,2,0)),"")</f>
        <v>EMP-00092</v>
      </c>
      <c r="E99" s="72">
        <f>IFERROR(IF(COV_TRACK[[#This Row],[Employee Name]]="","",VLOOKUP(COV_TRACK[[#This Row],[Employee Name]],Database!B:F,3,0)),"")</f>
        <v>35</v>
      </c>
      <c r="F99" s="55" t="str">
        <f>IFERROR(IF(COV_TRACK[[#This Row],[Employee Name]]="","",VLOOKUP(COV_TRACK[[#This Row],[Employee Name]],Database!B:F,4,0)),"")</f>
        <v>F</v>
      </c>
      <c r="G99" s="55" t="str">
        <f>IFERROR(IF(COV_TRACK[[#This Row],[Employee Name]]="","",VLOOKUP(COV_TRACK[[#This Row],[Employee Name]],Database!B:F,5,0)),"")</f>
        <v>Purchasing</v>
      </c>
      <c r="H99" s="56">
        <v>38</v>
      </c>
      <c r="I99" s="57" t="str">
        <f>IFERROR(IF(COV_TRACK[[#This Row],[TEMP  Cº]]="","",IF(COV_TRACK[[#This Row],[TEMP  Cº]]&lt;=Database!$N$5,Database!$L$5,IF(COV_TRACK[[#This Row],[TEMP  Cº]]&lt;=Database!$N$6,Database!$L$6,IF(COV_TRACK[[#This Row],[TEMP  Cº]]&lt;=Database!$N$7,Database!$L$7,Database!$L$8)))),"")</f>
        <v>Medium Risk</v>
      </c>
      <c r="J99" s="25" t="s">
        <v>279</v>
      </c>
      <c r="K99" s="58" t="s">
        <v>281</v>
      </c>
      <c r="L99" s="59" t="s">
        <v>280</v>
      </c>
      <c r="M99" s="60" t="s">
        <v>282</v>
      </c>
    </row>
    <row r="100" spans="1:13" x14ac:dyDescent="0.2">
      <c r="A100" s="5" t="str">
        <f t="shared" si="1"/>
        <v/>
      </c>
      <c r="B100" s="37">
        <v>44125</v>
      </c>
      <c r="C100" s="40" t="s">
        <v>86</v>
      </c>
      <c r="D100" s="55" t="str">
        <f>IFERROR(IF(COV_TRACK[[#This Row],[Employee Name]]="","",VLOOKUP(COV_TRACK[[#This Row],[Employee Name]],Database!B:F,2,0)),"")</f>
        <v>EMP-00019</v>
      </c>
      <c r="E100" s="72">
        <f>IFERROR(IF(COV_TRACK[[#This Row],[Employee Name]]="","",VLOOKUP(COV_TRACK[[#This Row],[Employee Name]],Database!B:F,3,0)),"")</f>
        <v>28</v>
      </c>
      <c r="F100" s="55" t="str">
        <f>IFERROR(IF(COV_TRACK[[#This Row],[Employee Name]]="","",VLOOKUP(COV_TRACK[[#This Row],[Employee Name]],Database!B:F,4,0)),"")</f>
        <v>M</v>
      </c>
      <c r="G100" s="55" t="str">
        <f>IFERROR(IF(COV_TRACK[[#This Row],[Employee Name]]="","",VLOOKUP(COV_TRACK[[#This Row],[Employee Name]],Database!B:F,5,0)),"")</f>
        <v>Planning</v>
      </c>
      <c r="H100" s="56">
        <v>38</v>
      </c>
      <c r="I100" s="57" t="str">
        <f>IFERROR(IF(COV_TRACK[[#This Row],[TEMP  Cº]]="","",IF(COV_TRACK[[#This Row],[TEMP  Cº]]&lt;=Database!$N$5,Database!$L$5,IF(COV_TRACK[[#This Row],[TEMP  Cº]]&lt;=Database!$N$6,Database!$L$6,IF(COV_TRACK[[#This Row],[TEMP  Cº]]&lt;=Database!$N$7,Database!$L$7,Database!$L$8)))),"")</f>
        <v>Medium Risk</v>
      </c>
      <c r="J100" s="25" t="s">
        <v>280</v>
      </c>
      <c r="K100" s="58" t="s">
        <v>281</v>
      </c>
      <c r="L100" s="59" t="s">
        <v>280</v>
      </c>
      <c r="M100" s="60" t="s">
        <v>282</v>
      </c>
    </row>
    <row r="101" spans="1:13" x14ac:dyDescent="0.2">
      <c r="A101" s="5" t="str">
        <f t="shared" si="1"/>
        <v/>
      </c>
      <c r="B101" s="37">
        <v>43860</v>
      </c>
      <c r="C101" s="40" t="s">
        <v>122</v>
      </c>
      <c r="D101" s="55" t="str">
        <f>IFERROR(IF(COV_TRACK[[#This Row],[Employee Name]]="","",VLOOKUP(COV_TRACK[[#This Row],[Employee Name]],Database!B:F,2,0)),"")</f>
        <v>EMP-00055</v>
      </c>
      <c r="E101" s="72">
        <f>IFERROR(IF(COV_TRACK[[#This Row],[Employee Name]]="","",VLOOKUP(COV_TRACK[[#This Row],[Employee Name]],Database!B:F,3,0)),"")</f>
        <v>36</v>
      </c>
      <c r="F101" s="55" t="str">
        <f>IFERROR(IF(COV_TRACK[[#This Row],[Employee Name]]="","",VLOOKUP(COV_TRACK[[#This Row],[Employee Name]],Database!B:F,4,0)),"")</f>
        <v>F</v>
      </c>
      <c r="G101" s="55" t="str">
        <f>IFERROR(IF(COV_TRACK[[#This Row],[Employee Name]]="","",VLOOKUP(COV_TRACK[[#This Row],[Employee Name]],Database!B:F,5,0)),"")</f>
        <v>HR</v>
      </c>
      <c r="H101" s="56">
        <v>37</v>
      </c>
      <c r="I101" s="57" t="str">
        <f>IFERROR(IF(COV_TRACK[[#This Row],[TEMP  Cº]]="","",IF(COV_TRACK[[#This Row],[TEMP  Cº]]&lt;=Database!$N$5,Database!$L$5,IF(COV_TRACK[[#This Row],[TEMP  Cº]]&lt;=Database!$N$6,Database!$L$6,IF(COV_TRACK[[#This Row],[TEMP  Cº]]&lt;=Database!$N$7,Database!$L$7,Database!$L$8)))),"")</f>
        <v>Normal</v>
      </c>
      <c r="J101" s="25" t="s">
        <v>279</v>
      </c>
      <c r="K101" s="58" t="s">
        <v>281</v>
      </c>
      <c r="L101" s="59" t="s">
        <v>280</v>
      </c>
      <c r="M101" s="60" t="s">
        <v>282</v>
      </c>
    </row>
    <row r="102" spans="1:13" x14ac:dyDescent="0.2">
      <c r="A102" s="5" t="str">
        <f t="shared" si="1"/>
        <v/>
      </c>
      <c r="B102" s="37">
        <v>43923</v>
      </c>
      <c r="C102" s="40" t="s">
        <v>133</v>
      </c>
      <c r="D102" s="55" t="str">
        <f>IFERROR(IF(COV_TRACK[[#This Row],[Employee Name]]="","",VLOOKUP(COV_TRACK[[#This Row],[Employee Name]],Database!B:F,2,0)),"")</f>
        <v>EMP-00066</v>
      </c>
      <c r="E102" s="72">
        <f>IFERROR(IF(COV_TRACK[[#This Row],[Employee Name]]="","",VLOOKUP(COV_TRACK[[#This Row],[Employee Name]],Database!B:F,3,0)),"")</f>
        <v>35</v>
      </c>
      <c r="F102" s="55" t="str">
        <f>IFERROR(IF(COV_TRACK[[#This Row],[Employee Name]]="","",VLOOKUP(COV_TRACK[[#This Row],[Employee Name]],Database!B:F,4,0)),"")</f>
        <v>F</v>
      </c>
      <c r="G102" s="55" t="str">
        <f>IFERROR(IF(COV_TRACK[[#This Row],[Employee Name]]="","",VLOOKUP(COV_TRACK[[#This Row],[Employee Name]],Database!B:F,5,0)),"")</f>
        <v>Production</v>
      </c>
      <c r="H102" s="56">
        <v>38</v>
      </c>
      <c r="I102" s="57" t="str">
        <f>IFERROR(IF(COV_TRACK[[#This Row],[TEMP  Cº]]="","",IF(COV_TRACK[[#This Row],[TEMP  Cº]]&lt;=Database!$N$5,Database!$L$5,IF(COV_TRACK[[#This Row],[TEMP  Cº]]&lt;=Database!$N$6,Database!$L$6,IF(COV_TRACK[[#This Row],[TEMP  Cº]]&lt;=Database!$N$7,Database!$L$7,Database!$L$8)))),"")</f>
        <v>Medium Risk</v>
      </c>
      <c r="J102" s="25" t="s">
        <v>279</v>
      </c>
      <c r="K102" s="58" t="s">
        <v>281</v>
      </c>
      <c r="L102" s="59" t="s">
        <v>280</v>
      </c>
      <c r="M102" s="60" t="s">
        <v>282</v>
      </c>
    </row>
    <row r="103" spans="1:13" x14ac:dyDescent="0.2">
      <c r="A103" s="5" t="str">
        <f t="shared" si="1"/>
        <v/>
      </c>
      <c r="B103" s="37">
        <v>43889</v>
      </c>
      <c r="C103" s="40" t="s">
        <v>140</v>
      </c>
      <c r="D103" s="55" t="str">
        <f>IFERROR(IF(COV_TRACK[[#This Row],[Employee Name]]="","",VLOOKUP(COV_TRACK[[#This Row],[Employee Name]],Database!B:F,2,0)),"")</f>
        <v>EMP-00073</v>
      </c>
      <c r="E103" s="72">
        <f>IFERROR(IF(COV_TRACK[[#This Row],[Employee Name]]="","",VLOOKUP(COV_TRACK[[#This Row],[Employee Name]],Database!B:F,3,0)),"")</f>
        <v>28</v>
      </c>
      <c r="F103" s="55" t="str">
        <f>IFERROR(IF(COV_TRACK[[#This Row],[Employee Name]]="","",VLOOKUP(COV_TRACK[[#This Row],[Employee Name]],Database!B:F,4,0)),"")</f>
        <v>F</v>
      </c>
      <c r="G103" s="55" t="str">
        <f>IFERROR(IF(COV_TRACK[[#This Row],[Employee Name]]="","",VLOOKUP(COV_TRACK[[#This Row],[Employee Name]],Database!B:F,5,0)),"")</f>
        <v>QA</v>
      </c>
      <c r="H103" s="56">
        <v>39</v>
      </c>
      <c r="I103" s="57" t="str">
        <f>IFERROR(IF(COV_TRACK[[#This Row],[TEMP  Cº]]="","",IF(COV_TRACK[[#This Row],[TEMP  Cº]]&lt;=Database!$N$5,Database!$L$5,IF(COV_TRACK[[#This Row],[TEMP  Cº]]&lt;=Database!$N$6,Database!$L$6,IF(COV_TRACK[[#This Row],[TEMP  Cº]]&lt;=Database!$N$7,Database!$L$7,Database!$L$8)))),"")</f>
        <v>High Risk</v>
      </c>
      <c r="J103" s="25" t="s">
        <v>279</v>
      </c>
      <c r="K103" s="58" t="s">
        <v>281</v>
      </c>
      <c r="L103" s="59" t="s">
        <v>280</v>
      </c>
      <c r="M103" s="60" t="s">
        <v>282</v>
      </c>
    </row>
    <row r="104" spans="1:13" x14ac:dyDescent="0.2">
      <c r="A104" s="5" t="str">
        <f t="shared" si="1"/>
        <v/>
      </c>
      <c r="B104" s="37">
        <v>44153</v>
      </c>
      <c r="C104" s="40" t="s">
        <v>162</v>
      </c>
      <c r="D104" s="55" t="str">
        <f>IFERROR(IF(COV_TRACK[[#This Row],[Employee Name]]="","",VLOOKUP(COV_TRACK[[#This Row],[Employee Name]],Database!B:F,2,0)),"")</f>
        <v>EMP-00095</v>
      </c>
      <c r="E104" s="72">
        <f>IFERROR(IF(COV_TRACK[[#This Row],[Employee Name]]="","",VLOOKUP(COV_TRACK[[#This Row],[Employee Name]],Database!B:F,3,0)),"")</f>
        <v>38</v>
      </c>
      <c r="F104" s="55" t="str">
        <f>IFERROR(IF(COV_TRACK[[#This Row],[Employee Name]]="","",VLOOKUP(COV_TRACK[[#This Row],[Employee Name]],Database!B:F,4,0)),"")</f>
        <v>M</v>
      </c>
      <c r="G104" s="55" t="str">
        <f>IFERROR(IF(COV_TRACK[[#This Row],[Employee Name]]="","",VLOOKUP(COV_TRACK[[#This Row],[Employee Name]],Database!B:F,5,0)),"")</f>
        <v>Production</v>
      </c>
      <c r="H104" s="56">
        <v>38</v>
      </c>
      <c r="I104" s="57" t="str">
        <f>IFERROR(IF(COV_TRACK[[#This Row],[TEMP  Cº]]="","",IF(COV_TRACK[[#This Row],[TEMP  Cº]]&lt;=Database!$N$5,Database!$L$5,IF(COV_TRACK[[#This Row],[TEMP  Cº]]&lt;=Database!$N$6,Database!$L$6,IF(COV_TRACK[[#This Row],[TEMP  Cº]]&lt;=Database!$N$7,Database!$L$7,Database!$L$8)))),"")</f>
        <v>Medium Risk</v>
      </c>
      <c r="J104" s="25" t="s">
        <v>279</v>
      </c>
      <c r="K104" s="58" t="s">
        <v>281</v>
      </c>
      <c r="L104" s="59" t="s">
        <v>280</v>
      </c>
      <c r="M104" s="60" t="s">
        <v>282</v>
      </c>
    </row>
    <row r="105" spans="1:13" x14ac:dyDescent="0.2">
      <c r="A105" s="5" t="str">
        <f t="shared" si="1"/>
        <v/>
      </c>
      <c r="B105" s="37">
        <v>44078</v>
      </c>
      <c r="C105" s="40" t="s">
        <v>132</v>
      </c>
      <c r="D105" s="55" t="str">
        <f>IFERROR(IF(COV_TRACK[[#This Row],[Employee Name]]="","",VLOOKUP(COV_TRACK[[#This Row],[Employee Name]],Database!B:F,2,0)),"")</f>
        <v>EMP-00065</v>
      </c>
      <c r="E105" s="72">
        <f>IFERROR(IF(COV_TRACK[[#This Row],[Employee Name]]="","",VLOOKUP(COV_TRACK[[#This Row],[Employee Name]],Database!B:F,3,0)),"")</f>
        <v>34</v>
      </c>
      <c r="F105" s="55" t="str">
        <f>IFERROR(IF(COV_TRACK[[#This Row],[Employee Name]]="","",VLOOKUP(COV_TRACK[[#This Row],[Employee Name]],Database!B:F,4,0)),"")</f>
        <v>F</v>
      </c>
      <c r="G105" s="55" t="str">
        <f>IFERROR(IF(COV_TRACK[[#This Row],[Employee Name]]="","",VLOOKUP(COV_TRACK[[#This Row],[Employee Name]],Database!B:F,5,0)),"")</f>
        <v>Warehouse</v>
      </c>
      <c r="H105" s="56">
        <v>37</v>
      </c>
      <c r="I105" s="57" t="str">
        <f>IFERROR(IF(COV_TRACK[[#This Row],[TEMP  Cº]]="","",IF(COV_TRACK[[#This Row],[TEMP  Cº]]&lt;=Database!$N$5,Database!$L$5,IF(COV_TRACK[[#This Row],[TEMP  Cº]]&lt;=Database!$N$6,Database!$L$6,IF(COV_TRACK[[#This Row],[TEMP  Cº]]&lt;=Database!$N$7,Database!$L$7,Database!$L$8)))),"")</f>
        <v>Normal</v>
      </c>
      <c r="J105" s="25" t="s">
        <v>279</v>
      </c>
      <c r="K105" s="58" t="s">
        <v>281</v>
      </c>
      <c r="L105" s="59" t="s">
        <v>280</v>
      </c>
      <c r="M105" s="60" t="s">
        <v>282</v>
      </c>
    </row>
    <row r="106" spans="1:13" x14ac:dyDescent="0.2">
      <c r="A106" s="5" t="str">
        <f t="shared" si="1"/>
        <v/>
      </c>
      <c r="B106" s="37">
        <v>43849</v>
      </c>
      <c r="C106" s="40" t="s">
        <v>38</v>
      </c>
      <c r="D106" s="55" t="str">
        <f>IFERROR(IF(COV_TRACK[[#This Row],[Employee Name]]="","",VLOOKUP(COV_TRACK[[#This Row],[Employee Name]],Database!B:F,2,0)),"")</f>
        <v>EMP-00011</v>
      </c>
      <c r="E106" s="72">
        <f>IFERROR(IF(COV_TRACK[[#This Row],[Employee Name]]="","",VLOOKUP(COV_TRACK[[#This Row],[Employee Name]],Database!B:F,3,0)),"")</f>
        <v>35</v>
      </c>
      <c r="F106" s="55" t="str">
        <f>IFERROR(IF(COV_TRACK[[#This Row],[Employee Name]]="","",VLOOKUP(COV_TRACK[[#This Row],[Employee Name]],Database!B:F,4,0)),"")</f>
        <v>F</v>
      </c>
      <c r="G106" s="55" t="str">
        <f>IFERROR(IF(COV_TRACK[[#This Row],[Employee Name]]="","",VLOOKUP(COV_TRACK[[#This Row],[Employee Name]],Database!B:F,5,0)),"")</f>
        <v>Planning</v>
      </c>
      <c r="H106" s="56">
        <v>38</v>
      </c>
      <c r="I106" s="57" t="str">
        <f>IFERROR(IF(COV_TRACK[[#This Row],[TEMP  Cº]]="","",IF(COV_TRACK[[#This Row],[TEMP  Cº]]&lt;=Database!$N$5,Database!$L$5,IF(COV_TRACK[[#This Row],[TEMP  Cº]]&lt;=Database!$N$6,Database!$L$6,IF(COV_TRACK[[#This Row],[TEMP  Cº]]&lt;=Database!$N$7,Database!$L$7,Database!$L$8)))),"")</f>
        <v>Medium Risk</v>
      </c>
      <c r="J106" s="25" t="s">
        <v>279</v>
      </c>
      <c r="K106" s="58" t="s">
        <v>281</v>
      </c>
      <c r="L106" s="59" t="s">
        <v>280</v>
      </c>
      <c r="M106" s="60" t="s">
        <v>282</v>
      </c>
    </row>
    <row r="107" spans="1:13" x14ac:dyDescent="0.2">
      <c r="A107" s="5" t="str">
        <f t="shared" si="1"/>
        <v/>
      </c>
      <c r="B107" s="37">
        <v>43900</v>
      </c>
      <c r="C107" s="40" t="s">
        <v>165</v>
      </c>
      <c r="D107" s="55" t="str">
        <f>IFERROR(IF(COV_TRACK[[#This Row],[Employee Name]]="","",VLOOKUP(COV_TRACK[[#This Row],[Employee Name]],Database!B:F,2,0)),"")</f>
        <v>EMP-00098</v>
      </c>
      <c r="E107" s="72">
        <f>IFERROR(IF(COV_TRACK[[#This Row],[Employee Name]]="","",VLOOKUP(COV_TRACK[[#This Row],[Employee Name]],Database!B:F,3,0)),"")</f>
        <v>29</v>
      </c>
      <c r="F107" s="55" t="str">
        <f>IFERROR(IF(COV_TRACK[[#This Row],[Employee Name]]="","",VLOOKUP(COV_TRACK[[#This Row],[Employee Name]],Database!B:F,4,0)),"")</f>
        <v>M</v>
      </c>
      <c r="G107" s="55" t="str">
        <f>IFERROR(IF(COV_TRACK[[#This Row],[Employee Name]]="","",VLOOKUP(COV_TRACK[[#This Row],[Employee Name]],Database!B:F,5,0)),"")</f>
        <v>Finance</v>
      </c>
      <c r="H107" s="56">
        <v>37</v>
      </c>
      <c r="I107" s="57" t="str">
        <f>IFERROR(IF(COV_TRACK[[#This Row],[TEMP  Cº]]="","",IF(COV_TRACK[[#This Row],[TEMP  Cº]]&lt;=Database!$N$5,Database!$L$5,IF(COV_TRACK[[#This Row],[TEMP  Cº]]&lt;=Database!$N$6,Database!$L$6,IF(COV_TRACK[[#This Row],[TEMP  Cº]]&lt;=Database!$N$7,Database!$L$7,Database!$L$8)))),"")</f>
        <v>Normal</v>
      </c>
      <c r="J107" s="25" t="s">
        <v>280</v>
      </c>
      <c r="K107" s="58" t="s">
        <v>281</v>
      </c>
      <c r="L107" s="59" t="s">
        <v>280</v>
      </c>
      <c r="M107" s="60" t="s">
        <v>282</v>
      </c>
    </row>
    <row r="108" spans="1:13" x14ac:dyDescent="0.2">
      <c r="A108" s="5" t="str">
        <f t="shared" si="1"/>
        <v/>
      </c>
      <c r="B108" s="37">
        <v>43929</v>
      </c>
      <c r="C108" s="40" t="s">
        <v>37</v>
      </c>
      <c r="D108" s="55" t="str">
        <f>IFERROR(IF(COV_TRACK[[#This Row],[Employee Name]]="","",VLOOKUP(COV_TRACK[[#This Row],[Employee Name]],Database!B:F,2,0)),"")</f>
        <v>EMP-00010</v>
      </c>
      <c r="E108" s="72">
        <f>IFERROR(IF(COV_TRACK[[#This Row],[Employee Name]]="","",VLOOKUP(COV_TRACK[[#This Row],[Employee Name]],Database!B:F,3,0)),"")</f>
        <v>38</v>
      </c>
      <c r="F108" s="55" t="str">
        <f>IFERROR(IF(COV_TRACK[[#This Row],[Employee Name]]="","",VLOOKUP(COV_TRACK[[#This Row],[Employee Name]],Database!B:F,4,0)),"")</f>
        <v>M</v>
      </c>
      <c r="G108" s="55" t="str">
        <f>IFERROR(IF(COV_TRACK[[#This Row],[Employee Name]]="","",VLOOKUP(COV_TRACK[[#This Row],[Employee Name]],Database!B:F,5,0)),"")</f>
        <v>QA</v>
      </c>
      <c r="H108" s="56">
        <v>37</v>
      </c>
      <c r="I108" s="57" t="str">
        <f>IFERROR(IF(COV_TRACK[[#This Row],[TEMP  Cº]]="","",IF(COV_TRACK[[#This Row],[TEMP  Cº]]&lt;=Database!$N$5,Database!$L$5,IF(COV_TRACK[[#This Row],[TEMP  Cº]]&lt;=Database!$N$6,Database!$L$6,IF(COV_TRACK[[#This Row],[TEMP  Cº]]&lt;=Database!$N$7,Database!$L$7,Database!$L$8)))),"")</f>
        <v>Normal</v>
      </c>
      <c r="J108" s="25" t="s">
        <v>279</v>
      </c>
      <c r="K108" s="58" t="s">
        <v>281</v>
      </c>
      <c r="L108" s="59" t="s">
        <v>280</v>
      </c>
      <c r="M108" s="60" t="s">
        <v>282</v>
      </c>
    </row>
    <row r="109" spans="1:13" x14ac:dyDescent="0.2">
      <c r="A109" s="5" t="str">
        <f t="shared" si="1"/>
        <v/>
      </c>
      <c r="B109" s="37">
        <v>43938</v>
      </c>
      <c r="C109" s="40" t="s">
        <v>105</v>
      </c>
      <c r="D109" s="55" t="str">
        <f>IFERROR(IF(COV_TRACK[[#This Row],[Employee Name]]="","",VLOOKUP(COV_TRACK[[#This Row],[Employee Name]],Database!B:F,2,0)),"")</f>
        <v>EMP-00038</v>
      </c>
      <c r="E109" s="72">
        <f>IFERROR(IF(COV_TRACK[[#This Row],[Employee Name]]="","",VLOOKUP(COV_TRACK[[#This Row],[Employee Name]],Database!B:F,3,0)),"")</f>
        <v>32</v>
      </c>
      <c r="F109" s="55" t="str">
        <f>IFERROR(IF(COV_TRACK[[#This Row],[Employee Name]]="","",VLOOKUP(COV_TRACK[[#This Row],[Employee Name]],Database!B:F,4,0)),"")</f>
        <v>M</v>
      </c>
      <c r="G109" s="55" t="str">
        <f>IFERROR(IF(COV_TRACK[[#This Row],[Employee Name]]="","",VLOOKUP(COV_TRACK[[#This Row],[Employee Name]],Database!B:F,5,0)),"")</f>
        <v>Planning</v>
      </c>
      <c r="H109" s="56">
        <v>37</v>
      </c>
      <c r="I109" s="57" t="str">
        <f>IFERROR(IF(COV_TRACK[[#This Row],[TEMP  Cº]]="","",IF(COV_TRACK[[#This Row],[TEMP  Cº]]&lt;=Database!$N$5,Database!$L$5,IF(COV_TRACK[[#This Row],[TEMP  Cº]]&lt;=Database!$N$6,Database!$L$6,IF(COV_TRACK[[#This Row],[TEMP  Cº]]&lt;=Database!$N$7,Database!$L$7,Database!$L$8)))),"")</f>
        <v>Normal</v>
      </c>
      <c r="J109" s="25" t="s">
        <v>279</v>
      </c>
      <c r="K109" s="58" t="s">
        <v>281</v>
      </c>
      <c r="L109" s="59" t="s">
        <v>280</v>
      </c>
      <c r="M109" s="60" t="s">
        <v>282</v>
      </c>
    </row>
    <row r="110" spans="1:13" x14ac:dyDescent="0.2">
      <c r="A110" s="5" t="str">
        <f t="shared" si="1"/>
        <v/>
      </c>
      <c r="B110" s="37">
        <v>44194</v>
      </c>
      <c r="C110" s="40" t="s">
        <v>33</v>
      </c>
      <c r="D110" s="55" t="str">
        <f>IFERROR(IF(COV_TRACK[[#This Row],[Employee Name]]="","",VLOOKUP(COV_TRACK[[#This Row],[Employee Name]],Database!B:F,2,0)),"")</f>
        <v>EMP-00006</v>
      </c>
      <c r="E110" s="72">
        <f>IFERROR(IF(COV_TRACK[[#This Row],[Employee Name]]="","",VLOOKUP(COV_TRACK[[#This Row],[Employee Name]],Database!B:F,3,0)),"")</f>
        <v>35</v>
      </c>
      <c r="F110" s="55" t="str">
        <f>IFERROR(IF(COV_TRACK[[#This Row],[Employee Name]]="","",VLOOKUP(COV_TRACK[[#This Row],[Employee Name]],Database!B:F,4,0)),"")</f>
        <v>M</v>
      </c>
      <c r="G110" s="55" t="str">
        <f>IFERROR(IF(COV_TRACK[[#This Row],[Employee Name]]="","",VLOOKUP(COV_TRACK[[#This Row],[Employee Name]],Database!B:F,5,0)),"")</f>
        <v>Purchasing</v>
      </c>
      <c r="H110" s="56">
        <v>38</v>
      </c>
      <c r="I110" s="57" t="str">
        <f>IFERROR(IF(COV_TRACK[[#This Row],[TEMP  Cº]]="","",IF(COV_TRACK[[#This Row],[TEMP  Cº]]&lt;=Database!$N$5,Database!$L$5,IF(COV_TRACK[[#This Row],[TEMP  Cº]]&lt;=Database!$N$6,Database!$L$6,IF(COV_TRACK[[#This Row],[TEMP  Cº]]&lt;=Database!$N$7,Database!$L$7,Database!$L$8)))),"")</f>
        <v>Medium Risk</v>
      </c>
      <c r="J110" s="25" t="s">
        <v>279</v>
      </c>
      <c r="K110" s="58" t="s">
        <v>281</v>
      </c>
      <c r="L110" s="59" t="s">
        <v>280</v>
      </c>
      <c r="M110" s="60" t="s">
        <v>282</v>
      </c>
    </row>
    <row r="111" spans="1:13" x14ac:dyDescent="0.2">
      <c r="A111" s="5" t="str">
        <f t="shared" si="1"/>
        <v/>
      </c>
      <c r="B111" s="37">
        <v>44179</v>
      </c>
      <c r="C111" s="40" t="s">
        <v>95</v>
      </c>
      <c r="D111" s="55" t="str">
        <f>IFERROR(IF(COV_TRACK[[#This Row],[Employee Name]]="","",VLOOKUP(COV_TRACK[[#This Row],[Employee Name]],Database!B:F,2,0)),"")</f>
        <v>EMP-00028</v>
      </c>
      <c r="E111" s="72">
        <f>IFERROR(IF(COV_TRACK[[#This Row],[Employee Name]]="","",VLOOKUP(COV_TRACK[[#This Row],[Employee Name]],Database!B:F,3,0)),"")</f>
        <v>30</v>
      </c>
      <c r="F111" s="55" t="str">
        <f>IFERROR(IF(COV_TRACK[[#This Row],[Employee Name]]="","",VLOOKUP(COV_TRACK[[#This Row],[Employee Name]],Database!B:F,4,0)),"")</f>
        <v>M</v>
      </c>
      <c r="G111" s="55" t="str">
        <f>IFERROR(IF(COV_TRACK[[#This Row],[Employee Name]]="","",VLOOKUP(COV_TRACK[[#This Row],[Employee Name]],Database!B:F,5,0)),"")</f>
        <v>Planning</v>
      </c>
      <c r="H111" s="56">
        <v>37</v>
      </c>
      <c r="I111" s="57" t="str">
        <f>IFERROR(IF(COV_TRACK[[#This Row],[TEMP  Cº]]="","",IF(COV_TRACK[[#This Row],[TEMP  Cº]]&lt;=Database!$N$5,Database!$L$5,IF(COV_TRACK[[#This Row],[TEMP  Cº]]&lt;=Database!$N$6,Database!$L$6,IF(COV_TRACK[[#This Row],[TEMP  Cº]]&lt;=Database!$N$7,Database!$L$7,Database!$L$8)))),"")</f>
        <v>Normal</v>
      </c>
      <c r="J111" s="25" t="s">
        <v>279</v>
      </c>
      <c r="K111" s="58" t="s">
        <v>79</v>
      </c>
      <c r="L111" s="59" t="s">
        <v>280</v>
      </c>
      <c r="M111" s="60" t="s">
        <v>282</v>
      </c>
    </row>
    <row r="112" spans="1:13" x14ac:dyDescent="0.2">
      <c r="A112" s="5" t="str">
        <f t="shared" si="1"/>
        <v/>
      </c>
      <c r="B112" s="37">
        <v>43901</v>
      </c>
      <c r="C112" s="40" t="s">
        <v>110</v>
      </c>
      <c r="D112" s="55" t="str">
        <f>IFERROR(IF(COV_TRACK[[#This Row],[Employee Name]]="","",VLOOKUP(COV_TRACK[[#This Row],[Employee Name]],Database!B:F,2,0)),"")</f>
        <v>EMP-00043</v>
      </c>
      <c r="E112" s="72">
        <f>IFERROR(IF(COV_TRACK[[#This Row],[Employee Name]]="","",VLOOKUP(COV_TRACK[[#This Row],[Employee Name]],Database!B:F,3,0)),"")</f>
        <v>27</v>
      </c>
      <c r="F112" s="55" t="str">
        <f>IFERROR(IF(COV_TRACK[[#This Row],[Employee Name]]="","",VLOOKUP(COV_TRACK[[#This Row],[Employee Name]],Database!B:F,4,0)),"")</f>
        <v>F</v>
      </c>
      <c r="G112" s="55" t="str">
        <f>IFERROR(IF(COV_TRACK[[#This Row],[Employee Name]]="","",VLOOKUP(COV_TRACK[[#This Row],[Employee Name]],Database!B:F,5,0)),"")</f>
        <v>QA</v>
      </c>
      <c r="H112" s="56">
        <v>37</v>
      </c>
      <c r="I112" s="57" t="str">
        <f>IFERROR(IF(COV_TRACK[[#This Row],[TEMP  Cº]]="","",IF(COV_TRACK[[#This Row],[TEMP  Cº]]&lt;=Database!$N$5,Database!$L$5,IF(COV_TRACK[[#This Row],[TEMP  Cº]]&lt;=Database!$N$6,Database!$L$6,IF(COV_TRACK[[#This Row],[TEMP  Cº]]&lt;=Database!$N$7,Database!$L$7,Database!$L$8)))),"")</f>
        <v>Normal</v>
      </c>
      <c r="J112" s="25" t="s">
        <v>279</v>
      </c>
      <c r="K112" s="58" t="s">
        <v>281</v>
      </c>
      <c r="L112" s="59" t="s">
        <v>280</v>
      </c>
      <c r="M112" s="60" t="s">
        <v>282</v>
      </c>
    </row>
    <row r="113" spans="1:13" x14ac:dyDescent="0.2">
      <c r="A113" s="5" t="str">
        <f t="shared" si="1"/>
        <v/>
      </c>
      <c r="B113" s="37">
        <v>43976</v>
      </c>
      <c r="C113" s="40" t="s">
        <v>85</v>
      </c>
      <c r="D113" s="55" t="str">
        <f>IFERROR(IF(COV_TRACK[[#This Row],[Employee Name]]="","",VLOOKUP(COV_TRACK[[#This Row],[Employee Name]],Database!B:F,2,0)),"")</f>
        <v>EMP-00018</v>
      </c>
      <c r="E113" s="72">
        <f>IFERROR(IF(COV_TRACK[[#This Row],[Employee Name]]="","",VLOOKUP(COV_TRACK[[#This Row],[Employee Name]],Database!B:F,3,0)),"")</f>
        <v>29</v>
      </c>
      <c r="F113" s="55" t="str">
        <f>IFERROR(IF(COV_TRACK[[#This Row],[Employee Name]]="","",VLOOKUP(COV_TRACK[[#This Row],[Employee Name]],Database!B:F,4,0)),"")</f>
        <v>M</v>
      </c>
      <c r="G113" s="55" t="str">
        <f>IFERROR(IF(COV_TRACK[[#This Row],[Employee Name]]="","",VLOOKUP(COV_TRACK[[#This Row],[Employee Name]],Database!B:F,5,0)),"")</f>
        <v>Purchasing</v>
      </c>
      <c r="H113" s="56">
        <v>37</v>
      </c>
      <c r="I113" s="57" t="str">
        <f>IFERROR(IF(COV_TRACK[[#This Row],[TEMP  Cº]]="","",IF(COV_TRACK[[#This Row],[TEMP  Cº]]&lt;=Database!$N$5,Database!$L$5,IF(COV_TRACK[[#This Row],[TEMP  Cº]]&lt;=Database!$N$6,Database!$L$6,IF(COV_TRACK[[#This Row],[TEMP  Cº]]&lt;=Database!$N$7,Database!$L$7,Database!$L$8)))),"")</f>
        <v>Normal</v>
      </c>
      <c r="J113" s="25" t="s">
        <v>279</v>
      </c>
      <c r="K113" s="58" t="s">
        <v>281</v>
      </c>
      <c r="L113" s="59" t="s">
        <v>280</v>
      </c>
      <c r="M113" s="60" t="s">
        <v>282</v>
      </c>
    </row>
    <row r="114" spans="1:13" x14ac:dyDescent="0.2">
      <c r="A114" s="5" t="str">
        <f t="shared" si="1"/>
        <v/>
      </c>
      <c r="B114" s="37">
        <v>44146</v>
      </c>
      <c r="C114" s="40" t="s">
        <v>106</v>
      </c>
      <c r="D114" s="55" t="str">
        <f>IFERROR(IF(COV_TRACK[[#This Row],[Employee Name]]="","",VLOOKUP(COV_TRACK[[#This Row],[Employee Name]],Database!B:F,2,0)),"")</f>
        <v>EMP-00039</v>
      </c>
      <c r="E114" s="72">
        <f>IFERROR(IF(COV_TRACK[[#This Row],[Employee Name]]="","",VLOOKUP(COV_TRACK[[#This Row],[Employee Name]],Database!B:F,3,0)),"")</f>
        <v>29</v>
      </c>
      <c r="F114" s="55" t="str">
        <f>IFERROR(IF(COV_TRACK[[#This Row],[Employee Name]]="","",VLOOKUP(COV_TRACK[[#This Row],[Employee Name]],Database!B:F,4,0)),"")</f>
        <v>F</v>
      </c>
      <c r="G114" s="55" t="str">
        <f>IFERROR(IF(COV_TRACK[[#This Row],[Employee Name]]="","",VLOOKUP(COV_TRACK[[#This Row],[Employee Name]],Database!B:F,5,0)),"")</f>
        <v>Warehouse</v>
      </c>
      <c r="H114" s="56">
        <v>37</v>
      </c>
      <c r="I114" s="57" t="str">
        <f>IFERROR(IF(COV_TRACK[[#This Row],[TEMP  Cº]]="","",IF(COV_TRACK[[#This Row],[TEMP  Cº]]&lt;=Database!$N$5,Database!$L$5,IF(COV_TRACK[[#This Row],[TEMP  Cº]]&lt;=Database!$N$6,Database!$L$6,IF(COV_TRACK[[#This Row],[TEMP  Cº]]&lt;=Database!$N$7,Database!$L$7,Database!$L$8)))),"")</f>
        <v>Normal</v>
      </c>
      <c r="J114" s="25" t="s">
        <v>279</v>
      </c>
      <c r="K114" s="58" t="s">
        <v>281</v>
      </c>
      <c r="L114" s="59" t="s">
        <v>280</v>
      </c>
      <c r="M114" s="60" t="s">
        <v>282</v>
      </c>
    </row>
    <row r="115" spans="1:13" x14ac:dyDescent="0.2">
      <c r="A115" s="5" t="str">
        <f t="shared" si="1"/>
        <v/>
      </c>
      <c r="B115" s="37">
        <v>44164</v>
      </c>
      <c r="C115" s="40" t="s">
        <v>34</v>
      </c>
      <c r="D115" s="55" t="str">
        <f>IFERROR(IF(COV_TRACK[[#This Row],[Employee Name]]="","",VLOOKUP(COV_TRACK[[#This Row],[Employee Name]],Database!B:F,2,0)),"")</f>
        <v>EMP-00007</v>
      </c>
      <c r="E115" s="72">
        <f>IFERROR(IF(COV_TRACK[[#This Row],[Employee Name]]="","",VLOOKUP(COV_TRACK[[#This Row],[Employee Name]],Database!B:F,3,0)),"")</f>
        <v>31</v>
      </c>
      <c r="F115" s="55" t="str">
        <f>IFERROR(IF(COV_TRACK[[#This Row],[Employee Name]]="","",VLOOKUP(COV_TRACK[[#This Row],[Employee Name]],Database!B:F,4,0)),"")</f>
        <v>M</v>
      </c>
      <c r="G115" s="55" t="str">
        <f>IFERROR(IF(COV_TRACK[[#This Row],[Employee Name]]="","",VLOOKUP(COV_TRACK[[#This Row],[Employee Name]],Database!B:F,5,0)),"")</f>
        <v>HR</v>
      </c>
      <c r="H115" s="56">
        <v>38</v>
      </c>
      <c r="I115" s="57" t="str">
        <f>IFERROR(IF(COV_TRACK[[#This Row],[TEMP  Cº]]="","",IF(COV_TRACK[[#This Row],[TEMP  Cº]]&lt;=Database!$N$5,Database!$L$5,IF(COV_TRACK[[#This Row],[TEMP  Cº]]&lt;=Database!$N$6,Database!$L$6,IF(COV_TRACK[[#This Row],[TEMP  Cº]]&lt;=Database!$N$7,Database!$L$7,Database!$L$8)))),"")</f>
        <v>Medium Risk</v>
      </c>
      <c r="J115" s="25" t="s">
        <v>279</v>
      </c>
      <c r="K115" s="58" t="s">
        <v>281</v>
      </c>
      <c r="L115" s="59" t="s">
        <v>280</v>
      </c>
      <c r="M115" s="60" t="s">
        <v>282</v>
      </c>
    </row>
    <row r="116" spans="1:13" x14ac:dyDescent="0.2">
      <c r="A116" s="5" t="str">
        <f t="shared" si="1"/>
        <v/>
      </c>
      <c r="B116" s="37">
        <v>43871</v>
      </c>
      <c r="C116" s="40" t="s">
        <v>97</v>
      </c>
      <c r="D116" s="55" t="str">
        <f>IFERROR(IF(COV_TRACK[[#This Row],[Employee Name]]="","",VLOOKUP(COV_TRACK[[#This Row],[Employee Name]],Database!B:F,2,0)),"")</f>
        <v>EMP-00030</v>
      </c>
      <c r="E116" s="72">
        <f>IFERROR(IF(COV_TRACK[[#This Row],[Employee Name]]="","",VLOOKUP(COV_TRACK[[#This Row],[Employee Name]],Database!B:F,3,0)),"")</f>
        <v>38</v>
      </c>
      <c r="F116" s="55" t="str">
        <f>IFERROR(IF(COV_TRACK[[#This Row],[Employee Name]]="","",VLOOKUP(COV_TRACK[[#This Row],[Employee Name]],Database!B:F,4,0)),"")</f>
        <v>M</v>
      </c>
      <c r="G116" s="55" t="str">
        <f>IFERROR(IF(COV_TRACK[[#This Row],[Employee Name]]="","",VLOOKUP(COV_TRACK[[#This Row],[Employee Name]],Database!B:F,5,0)),"")</f>
        <v>QA</v>
      </c>
      <c r="H116" s="56">
        <v>38</v>
      </c>
      <c r="I116" s="57" t="str">
        <f>IFERROR(IF(COV_TRACK[[#This Row],[TEMP  Cº]]="","",IF(COV_TRACK[[#This Row],[TEMP  Cº]]&lt;=Database!$N$5,Database!$L$5,IF(COV_TRACK[[#This Row],[TEMP  Cº]]&lt;=Database!$N$6,Database!$L$6,IF(COV_TRACK[[#This Row],[TEMP  Cº]]&lt;=Database!$N$7,Database!$L$7,Database!$L$8)))),"")</f>
        <v>Medium Risk</v>
      </c>
      <c r="J116" s="25" t="s">
        <v>279</v>
      </c>
      <c r="K116" s="58" t="s">
        <v>281</v>
      </c>
      <c r="L116" s="59" t="s">
        <v>280</v>
      </c>
      <c r="M116" s="60" t="s">
        <v>282</v>
      </c>
    </row>
    <row r="117" spans="1:13" x14ac:dyDescent="0.2">
      <c r="A117" s="5" t="str">
        <f t="shared" si="1"/>
        <v/>
      </c>
      <c r="B117" s="37">
        <v>44020</v>
      </c>
      <c r="C117" s="40" t="s">
        <v>110</v>
      </c>
      <c r="D117" s="55" t="str">
        <f>IFERROR(IF(COV_TRACK[[#This Row],[Employee Name]]="","",VLOOKUP(COV_TRACK[[#This Row],[Employee Name]],Database!B:F,2,0)),"")</f>
        <v>EMP-00043</v>
      </c>
      <c r="E117" s="72">
        <f>IFERROR(IF(COV_TRACK[[#This Row],[Employee Name]]="","",VLOOKUP(COV_TRACK[[#This Row],[Employee Name]],Database!B:F,3,0)),"")</f>
        <v>27</v>
      </c>
      <c r="F117" s="55" t="str">
        <f>IFERROR(IF(COV_TRACK[[#This Row],[Employee Name]]="","",VLOOKUP(COV_TRACK[[#This Row],[Employee Name]],Database!B:F,4,0)),"")</f>
        <v>F</v>
      </c>
      <c r="G117" s="55" t="str">
        <f>IFERROR(IF(COV_TRACK[[#This Row],[Employee Name]]="","",VLOOKUP(COV_TRACK[[#This Row],[Employee Name]],Database!B:F,5,0)),"")</f>
        <v>QA</v>
      </c>
      <c r="H117" s="56">
        <v>39</v>
      </c>
      <c r="I117" s="57" t="str">
        <f>IFERROR(IF(COV_TRACK[[#This Row],[TEMP  Cº]]="","",IF(COV_TRACK[[#This Row],[TEMP  Cº]]&lt;=Database!$N$5,Database!$L$5,IF(COV_TRACK[[#This Row],[TEMP  Cº]]&lt;=Database!$N$6,Database!$L$6,IF(COV_TRACK[[#This Row],[TEMP  Cº]]&lt;=Database!$N$7,Database!$L$7,Database!$L$8)))),"")</f>
        <v>High Risk</v>
      </c>
      <c r="J117" s="25" t="s">
        <v>279</v>
      </c>
      <c r="K117" s="58" t="s">
        <v>79</v>
      </c>
      <c r="L117" s="59" t="s">
        <v>279</v>
      </c>
      <c r="M117" s="60" t="s">
        <v>283</v>
      </c>
    </row>
    <row r="118" spans="1:13" x14ac:dyDescent="0.2">
      <c r="A118" s="5" t="str">
        <f t="shared" si="1"/>
        <v/>
      </c>
      <c r="B118" s="37">
        <v>43922</v>
      </c>
      <c r="C118" s="40" t="s">
        <v>141</v>
      </c>
      <c r="D118" s="55" t="str">
        <f>IFERROR(IF(COV_TRACK[[#This Row],[Employee Name]]="","",VLOOKUP(COV_TRACK[[#This Row],[Employee Name]],Database!B:F,2,0)),"")</f>
        <v>EMP-00074</v>
      </c>
      <c r="E118" s="72">
        <f>IFERROR(IF(COV_TRACK[[#This Row],[Employee Name]]="","",VLOOKUP(COV_TRACK[[#This Row],[Employee Name]],Database!B:F,3,0)),"")</f>
        <v>29</v>
      </c>
      <c r="F118" s="55" t="str">
        <f>IFERROR(IF(COV_TRACK[[#This Row],[Employee Name]]="","",VLOOKUP(COV_TRACK[[#This Row],[Employee Name]],Database!B:F,4,0)),"")</f>
        <v>M</v>
      </c>
      <c r="G118" s="55" t="str">
        <f>IFERROR(IF(COV_TRACK[[#This Row],[Employee Name]]="","",VLOOKUP(COV_TRACK[[#This Row],[Employee Name]],Database!B:F,5,0)),"")</f>
        <v>Delivery</v>
      </c>
      <c r="H118" s="56">
        <v>38</v>
      </c>
      <c r="I118" s="57" t="str">
        <f>IFERROR(IF(COV_TRACK[[#This Row],[TEMP  Cº]]="","",IF(COV_TRACK[[#This Row],[TEMP  Cº]]&lt;=Database!$N$5,Database!$L$5,IF(COV_TRACK[[#This Row],[TEMP  Cº]]&lt;=Database!$N$6,Database!$L$6,IF(COV_TRACK[[#This Row],[TEMP  Cº]]&lt;=Database!$N$7,Database!$L$7,Database!$L$8)))),"")</f>
        <v>Medium Risk</v>
      </c>
      <c r="J118" s="25" t="s">
        <v>279</v>
      </c>
      <c r="K118" s="58" t="s">
        <v>281</v>
      </c>
      <c r="L118" s="59" t="s">
        <v>280</v>
      </c>
      <c r="M118" s="60" t="s">
        <v>282</v>
      </c>
    </row>
    <row r="119" spans="1:13" x14ac:dyDescent="0.2">
      <c r="A119" s="5" t="str">
        <f t="shared" si="1"/>
        <v/>
      </c>
      <c r="B119" s="37">
        <v>44157</v>
      </c>
      <c r="C119" s="40" t="s">
        <v>164</v>
      </c>
      <c r="D119" s="55" t="str">
        <f>IFERROR(IF(COV_TRACK[[#This Row],[Employee Name]]="","",VLOOKUP(COV_TRACK[[#This Row],[Employee Name]],Database!B:F,2,0)),"")</f>
        <v>EMP-00097</v>
      </c>
      <c r="E119" s="72">
        <f>IFERROR(IF(COV_TRACK[[#This Row],[Employee Name]]="","",VLOOKUP(COV_TRACK[[#This Row],[Employee Name]],Database!B:F,3,0)),"")</f>
        <v>38</v>
      </c>
      <c r="F119" s="55" t="str">
        <f>IFERROR(IF(COV_TRACK[[#This Row],[Employee Name]]="","",VLOOKUP(COV_TRACK[[#This Row],[Employee Name]],Database!B:F,4,0)),"")</f>
        <v>F</v>
      </c>
      <c r="G119" s="55" t="str">
        <f>IFERROR(IF(COV_TRACK[[#This Row],[Employee Name]]="","",VLOOKUP(COV_TRACK[[#This Row],[Employee Name]],Database!B:F,5,0)),"")</f>
        <v>Warehouse</v>
      </c>
      <c r="H119" s="56">
        <v>37</v>
      </c>
      <c r="I119" s="57" t="str">
        <f>IFERROR(IF(COV_TRACK[[#This Row],[TEMP  Cº]]="","",IF(COV_TRACK[[#This Row],[TEMP  Cº]]&lt;=Database!$N$5,Database!$L$5,IF(COV_TRACK[[#This Row],[TEMP  Cº]]&lt;=Database!$N$6,Database!$L$6,IF(COV_TRACK[[#This Row],[TEMP  Cº]]&lt;=Database!$N$7,Database!$L$7,Database!$L$8)))),"")</f>
        <v>Normal</v>
      </c>
      <c r="J119" s="25" t="s">
        <v>279</v>
      </c>
      <c r="K119" s="58" t="s">
        <v>281</v>
      </c>
      <c r="L119" s="59" t="s">
        <v>280</v>
      </c>
      <c r="M119" s="60" t="s">
        <v>282</v>
      </c>
    </row>
    <row r="120" spans="1:13" x14ac:dyDescent="0.2">
      <c r="A120" s="5" t="str">
        <f t="shared" si="1"/>
        <v/>
      </c>
      <c r="B120" s="37">
        <v>44093</v>
      </c>
      <c r="C120" s="40" t="s">
        <v>98</v>
      </c>
      <c r="D120" s="55" t="str">
        <f>IFERROR(IF(COV_TRACK[[#This Row],[Employee Name]]="","",VLOOKUP(COV_TRACK[[#This Row],[Employee Name]],Database!B:F,2,0)),"")</f>
        <v>EMP-00031</v>
      </c>
      <c r="E120" s="72">
        <f>IFERROR(IF(COV_TRACK[[#This Row],[Employee Name]]="","",VLOOKUP(COV_TRACK[[#This Row],[Employee Name]],Database!B:F,3,0)),"")</f>
        <v>31</v>
      </c>
      <c r="F120" s="55" t="str">
        <f>IFERROR(IF(COV_TRACK[[#This Row],[Employee Name]]="","",VLOOKUP(COV_TRACK[[#This Row],[Employee Name]],Database!B:F,4,0)),"")</f>
        <v>F</v>
      </c>
      <c r="G120" s="55" t="str">
        <f>IFERROR(IF(COV_TRACK[[#This Row],[Employee Name]]="","",VLOOKUP(COV_TRACK[[#This Row],[Employee Name]],Database!B:F,5,0)),"")</f>
        <v>Purchasing</v>
      </c>
      <c r="H120" s="56">
        <v>37</v>
      </c>
      <c r="I120" s="57" t="str">
        <f>IFERROR(IF(COV_TRACK[[#This Row],[TEMP  Cº]]="","",IF(COV_TRACK[[#This Row],[TEMP  Cº]]&lt;=Database!$N$5,Database!$L$5,IF(COV_TRACK[[#This Row],[TEMP  Cº]]&lt;=Database!$N$6,Database!$L$6,IF(COV_TRACK[[#This Row],[TEMP  Cº]]&lt;=Database!$N$7,Database!$L$7,Database!$L$8)))),"")</f>
        <v>Normal</v>
      </c>
      <c r="J120" s="25" t="s">
        <v>279</v>
      </c>
      <c r="K120" s="58" t="s">
        <v>281</v>
      </c>
      <c r="L120" s="59" t="s">
        <v>280</v>
      </c>
      <c r="M120" s="60" t="s">
        <v>282</v>
      </c>
    </row>
    <row r="121" spans="1:13" x14ac:dyDescent="0.2">
      <c r="A121" s="5" t="str">
        <f t="shared" si="1"/>
        <v/>
      </c>
      <c r="B121" s="37">
        <v>44035</v>
      </c>
      <c r="C121" s="40" t="s">
        <v>131</v>
      </c>
      <c r="D121" s="55" t="str">
        <f>IFERROR(IF(COV_TRACK[[#This Row],[Employee Name]]="","",VLOOKUP(COV_TRACK[[#This Row],[Employee Name]],Database!B:F,2,0)),"")</f>
        <v>EMP-00064</v>
      </c>
      <c r="E121" s="72">
        <f>IFERROR(IF(COV_TRACK[[#This Row],[Employee Name]]="","",VLOOKUP(COV_TRACK[[#This Row],[Employee Name]],Database!B:F,3,0)),"")</f>
        <v>29</v>
      </c>
      <c r="F121" s="55" t="str">
        <f>IFERROR(IF(COV_TRACK[[#This Row],[Employee Name]]="","",VLOOKUP(COV_TRACK[[#This Row],[Employee Name]],Database!B:F,4,0)),"")</f>
        <v>F</v>
      </c>
      <c r="G121" s="55" t="str">
        <f>IFERROR(IF(COV_TRACK[[#This Row],[Employee Name]]="","",VLOOKUP(COV_TRACK[[#This Row],[Employee Name]],Database!B:F,5,0)),"")</f>
        <v>Warehouse</v>
      </c>
      <c r="H121" s="56">
        <v>39</v>
      </c>
      <c r="I121" s="57" t="str">
        <f>IFERROR(IF(COV_TRACK[[#This Row],[TEMP  Cº]]="","",IF(COV_TRACK[[#This Row],[TEMP  Cº]]&lt;=Database!$N$5,Database!$L$5,IF(COV_TRACK[[#This Row],[TEMP  Cº]]&lt;=Database!$N$6,Database!$L$6,IF(COV_TRACK[[#This Row],[TEMP  Cº]]&lt;=Database!$N$7,Database!$L$7,Database!$L$8)))),"")</f>
        <v>High Risk</v>
      </c>
      <c r="J121" s="25" t="s">
        <v>279</v>
      </c>
      <c r="K121" s="58" t="s">
        <v>281</v>
      </c>
      <c r="L121" s="59" t="s">
        <v>280</v>
      </c>
      <c r="M121" s="60" t="s">
        <v>282</v>
      </c>
    </row>
    <row r="122" spans="1:13" x14ac:dyDescent="0.2">
      <c r="A122" s="5" t="str">
        <f t="shared" si="1"/>
        <v/>
      </c>
      <c r="B122" s="37">
        <v>44166</v>
      </c>
      <c r="C122" s="40" t="s">
        <v>150</v>
      </c>
      <c r="D122" s="55" t="str">
        <f>IFERROR(IF(COV_TRACK[[#This Row],[Employee Name]]="","",VLOOKUP(COV_TRACK[[#This Row],[Employee Name]],Database!B:F,2,0)),"")</f>
        <v>EMP-00083</v>
      </c>
      <c r="E122" s="72">
        <f>IFERROR(IF(COV_TRACK[[#This Row],[Employee Name]]="","",VLOOKUP(COV_TRACK[[#This Row],[Employee Name]],Database!B:F,3,0)),"")</f>
        <v>27</v>
      </c>
      <c r="F122" s="55" t="str">
        <f>IFERROR(IF(COV_TRACK[[#This Row],[Employee Name]]="","",VLOOKUP(COV_TRACK[[#This Row],[Employee Name]],Database!B:F,4,0)),"")</f>
        <v>M</v>
      </c>
      <c r="G122" s="55" t="str">
        <f>IFERROR(IF(COV_TRACK[[#This Row],[Employee Name]]="","",VLOOKUP(COV_TRACK[[#This Row],[Employee Name]],Database!B:F,5,0)),"")</f>
        <v>QA</v>
      </c>
      <c r="H122" s="56">
        <v>38</v>
      </c>
      <c r="I122" s="57" t="str">
        <f>IFERROR(IF(COV_TRACK[[#This Row],[TEMP  Cº]]="","",IF(COV_TRACK[[#This Row],[TEMP  Cº]]&lt;=Database!$N$5,Database!$L$5,IF(COV_TRACK[[#This Row],[TEMP  Cº]]&lt;=Database!$N$6,Database!$L$6,IF(COV_TRACK[[#This Row],[TEMP  Cº]]&lt;=Database!$N$7,Database!$L$7,Database!$L$8)))),"")</f>
        <v>Medium Risk</v>
      </c>
      <c r="J122" s="25" t="s">
        <v>279</v>
      </c>
      <c r="K122" s="58" t="s">
        <v>281</v>
      </c>
      <c r="L122" s="59" t="s">
        <v>280</v>
      </c>
      <c r="M122" s="60" t="s">
        <v>282</v>
      </c>
    </row>
    <row r="123" spans="1:13" x14ac:dyDescent="0.2">
      <c r="A123" s="5" t="str">
        <f t="shared" si="1"/>
        <v/>
      </c>
      <c r="B123" s="37">
        <v>44005</v>
      </c>
      <c r="C123" s="40" t="s">
        <v>167</v>
      </c>
      <c r="D123" s="55" t="str">
        <f>IFERROR(IF(COV_TRACK[[#This Row],[Employee Name]]="","",VLOOKUP(COV_TRACK[[#This Row],[Employee Name]],Database!B:F,2,0)),"")</f>
        <v>EMP-00100</v>
      </c>
      <c r="E123" s="72">
        <f>IFERROR(IF(COV_TRACK[[#This Row],[Employee Name]]="","",VLOOKUP(COV_TRACK[[#This Row],[Employee Name]],Database!B:F,3,0)),"")</f>
        <v>29</v>
      </c>
      <c r="F123" s="55" t="str">
        <f>IFERROR(IF(COV_TRACK[[#This Row],[Employee Name]]="","",VLOOKUP(COV_TRACK[[#This Row],[Employee Name]],Database!B:F,4,0)),"")</f>
        <v>M</v>
      </c>
      <c r="G123" s="55" t="str">
        <f>IFERROR(IF(COV_TRACK[[#This Row],[Employee Name]]="","",VLOOKUP(COV_TRACK[[#This Row],[Employee Name]],Database!B:F,5,0)),"")</f>
        <v>HR</v>
      </c>
      <c r="H123" s="56">
        <v>37</v>
      </c>
      <c r="I123" s="57" t="str">
        <f>IFERROR(IF(COV_TRACK[[#This Row],[TEMP  Cº]]="","",IF(COV_TRACK[[#This Row],[TEMP  Cº]]&lt;=Database!$N$5,Database!$L$5,IF(COV_TRACK[[#This Row],[TEMP  Cº]]&lt;=Database!$N$6,Database!$L$6,IF(COV_TRACK[[#This Row],[TEMP  Cº]]&lt;=Database!$N$7,Database!$L$7,Database!$L$8)))),"")</f>
        <v>Normal</v>
      </c>
      <c r="J123" s="25" t="s">
        <v>279</v>
      </c>
      <c r="K123" s="58" t="s">
        <v>281</v>
      </c>
      <c r="L123" s="59" t="s">
        <v>280</v>
      </c>
      <c r="M123" s="60" t="s">
        <v>282</v>
      </c>
    </row>
    <row r="124" spans="1:13" x14ac:dyDescent="0.2">
      <c r="A124" s="5" t="str">
        <f t="shared" si="1"/>
        <v/>
      </c>
      <c r="B124" s="37">
        <v>44046</v>
      </c>
      <c r="C124" s="40" t="s">
        <v>112</v>
      </c>
      <c r="D124" s="55" t="str">
        <f>IFERROR(IF(COV_TRACK[[#This Row],[Employee Name]]="","",VLOOKUP(COV_TRACK[[#This Row],[Employee Name]],Database!B:F,2,0)),"")</f>
        <v>EMP-00045</v>
      </c>
      <c r="E124" s="72">
        <f>IFERROR(IF(COV_TRACK[[#This Row],[Employee Name]]="","",VLOOKUP(COV_TRACK[[#This Row],[Employee Name]],Database!B:F,3,0)),"")</f>
        <v>27</v>
      </c>
      <c r="F124" s="55" t="str">
        <f>IFERROR(IF(COV_TRACK[[#This Row],[Employee Name]]="","",VLOOKUP(COV_TRACK[[#This Row],[Employee Name]],Database!B:F,4,0)),"")</f>
        <v>F</v>
      </c>
      <c r="G124" s="55" t="str">
        <f>IFERROR(IF(COV_TRACK[[#This Row],[Employee Name]]="","",VLOOKUP(COV_TRACK[[#This Row],[Employee Name]],Database!B:F,5,0)),"")</f>
        <v>Warehouse</v>
      </c>
      <c r="H124" s="56">
        <v>37</v>
      </c>
      <c r="I124" s="57" t="str">
        <f>IFERROR(IF(COV_TRACK[[#This Row],[TEMP  Cº]]="","",IF(COV_TRACK[[#This Row],[TEMP  Cº]]&lt;=Database!$N$5,Database!$L$5,IF(COV_TRACK[[#This Row],[TEMP  Cº]]&lt;=Database!$N$6,Database!$L$6,IF(COV_TRACK[[#This Row],[TEMP  Cº]]&lt;=Database!$N$7,Database!$L$7,Database!$L$8)))),"")</f>
        <v>Normal</v>
      </c>
      <c r="J124" s="25" t="s">
        <v>279</v>
      </c>
      <c r="K124" s="58" t="s">
        <v>281</v>
      </c>
      <c r="L124" s="59" t="s">
        <v>280</v>
      </c>
      <c r="M124" s="60" t="s">
        <v>282</v>
      </c>
    </row>
    <row r="125" spans="1:13" x14ac:dyDescent="0.2">
      <c r="A125" s="5" t="str">
        <f t="shared" si="1"/>
        <v/>
      </c>
      <c r="B125" s="37">
        <v>44110</v>
      </c>
      <c r="C125" s="40" t="s">
        <v>171</v>
      </c>
      <c r="D125" s="55" t="str">
        <f>IFERROR(IF(COV_TRACK[[#This Row],[Employee Name]]="","",VLOOKUP(COV_TRACK[[#This Row],[Employee Name]],Database!B:F,2,0)),"")</f>
        <v>EMP-00104</v>
      </c>
      <c r="E125" s="72">
        <f>IFERROR(IF(COV_TRACK[[#This Row],[Employee Name]]="","",VLOOKUP(COV_TRACK[[#This Row],[Employee Name]],Database!B:F,3,0)),"")</f>
        <v>32</v>
      </c>
      <c r="F125" s="55" t="str">
        <f>IFERROR(IF(COV_TRACK[[#This Row],[Employee Name]]="","",VLOOKUP(COV_TRACK[[#This Row],[Employee Name]],Database!B:F,4,0)),"")</f>
        <v>F</v>
      </c>
      <c r="G125" s="55" t="str">
        <f>IFERROR(IF(COV_TRACK[[#This Row],[Employee Name]]="","",VLOOKUP(COV_TRACK[[#This Row],[Employee Name]],Database!B:F,5,0)),"")</f>
        <v>Production</v>
      </c>
      <c r="H125" s="56">
        <v>38</v>
      </c>
      <c r="I125" s="57" t="str">
        <f>IFERROR(IF(COV_TRACK[[#This Row],[TEMP  Cº]]="","",IF(COV_TRACK[[#This Row],[TEMP  Cº]]&lt;=Database!$N$5,Database!$L$5,IF(COV_TRACK[[#This Row],[TEMP  Cº]]&lt;=Database!$N$6,Database!$L$6,IF(COV_TRACK[[#This Row],[TEMP  Cº]]&lt;=Database!$N$7,Database!$L$7,Database!$L$8)))),"")</f>
        <v>Medium Risk</v>
      </c>
      <c r="J125" s="25" t="s">
        <v>280</v>
      </c>
      <c r="K125" s="58" t="s">
        <v>281</v>
      </c>
      <c r="L125" s="59" t="s">
        <v>280</v>
      </c>
      <c r="M125" s="60" t="s">
        <v>61</v>
      </c>
    </row>
    <row r="126" spans="1:13" x14ac:dyDescent="0.2">
      <c r="A126" s="5" t="str">
        <f t="shared" si="1"/>
        <v/>
      </c>
      <c r="B126" s="37">
        <v>44095</v>
      </c>
      <c r="C126" s="40" t="s">
        <v>82</v>
      </c>
      <c r="D126" s="55" t="str">
        <f>IFERROR(IF(COV_TRACK[[#This Row],[Employee Name]]="","",VLOOKUP(COV_TRACK[[#This Row],[Employee Name]],Database!B:F,2,0)),"")</f>
        <v>EMP-00015</v>
      </c>
      <c r="E126" s="72">
        <f>IFERROR(IF(COV_TRACK[[#This Row],[Employee Name]]="","",VLOOKUP(COV_TRACK[[#This Row],[Employee Name]],Database!B:F,3,0)),"")</f>
        <v>36</v>
      </c>
      <c r="F126" s="55" t="str">
        <f>IFERROR(IF(COV_TRACK[[#This Row],[Employee Name]]="","",VLOOKUP(COV_TRACK[[#This Row],[Employee Name]],Database!B:F,4,0)),"")</f>
        <v>M</v>
      </c>
      <c r="G126" s="55" t="str">
        <f>IFERROR(IF(COV_TRACK[[#This Row],[Employee Name]]="","",VLOOKUP(COV_TRACK[[#This Row],[Employee Name]],Database!B:F,5,0)),"")</f>
        <v>Finance</v>
      </c>
      <c r="H126" s="56">
        <v>38</v>
      </c>
      <c r="I126" s="57" t="str">
        <f>IFERROR(IF(COV_TRACK[[#This Row],[TEMP  Cº]]="","",IF(COV_TRACK[[#This Row],[TEMP  Cº]]&lt;=Database!$N$5,Database!$L$5,IF(COV_TRACK[[#This Row],[TEMP  Cº]]&lt;=Database!$N$6,Database!$L$6,IF(COV_TRACK[[#This Row],[TEMP  Cº]]&lt;=Database!$N$7,Database!$L$7,Database!$L$8)))),"")</f>
        <v>Medium Risk</v>
      </c>
      <c r="J126" s="25" t="s">
        <v>279</v>
      </c>
      <c r="K126" s="58" t="s">
        <v>281</v>
      </c>
      <c r="L126" s="59" t="s">
        <v>280</v>
      </c>
      <c r="M126" s="60" t="s">
        <v>282</v>
      </c>
    </row>
    <row r="127" spans="1:13" x14ac:dyDescent="0.2">
      <c r="A127" s="5" t="str">
        <f t="shared" si="1"/>
        <v/>
      </c>
      <c r="B127" s="37">
        <v>44065</v>
      </c>
      <c r="C127" s="40" t="s">
        <v>146</v>
      </c>
      <c r="D127" s="55" t="str">
        <f>IFERROR(IF(COV_TRACK[[#This Row],[Employee Name]]="","",VLOOKUP(COV_TRACK[[#This Row],[Employee Name]],Database!B:F,2,0)),"")</f>
        <v>EMP-00079</v>
      </c>
      <c r="E127" s="72">
        <f>IFERROR(IF(COV_TRACK[[#This Row],[Employee Name]]="","",VLOOKUP(COV_TRACK[[#This Row],[Employee Name]],Database!B:F,3,0)),"")</f>
        <v>37</v>
      </c>
      <c r="F127" s="55" t="str">
        <f>IFERROR(IF(COV_TRACK[[#This Row],[Employee Name]]="","",VLOOKUP(COV_TRACK[[#This Row],[Employee Name]],Database!B:F,4,0)),"")</f>
        <v>M</v>
      </c>
      <c r="G127" s="55" t="str">
        <f>IFERROR(IF(COV_TRACK[[#This Row],[Employee Name]]="","",VLOOKUP(COV_TRACK[[#This Row],[Employee Name]],Database!B:F,5,0)),"")</f>
        <v>Production</v>
      </c>
      <c r="H127" s="56">
        <v>38</v>
      </c>
      <c r="I127" s="57" t="str">
        <f>IFERROR(IF(COV_TRACK[[#This Row],[TEMP  Cº]]="","",IF(COV_TRACK[[#This Row],[TEMP  Cº]]&lt;=Database!$N$5,Database!$L$5,IF(COV_TRACK[[#This Row],[TEMP  Cº]]&lt;=Database!$N$6,Database!$L$6,IF(COV_TRACK[[#This Row],[TEMP  Cº]]&lt;=Database!$N$7,Database!$L$7,Database!$L$8)))),"")</f>
        <v>Medium Risk</v>
      </c>
      <c r="J127" s="25" t="s">
        <v>280</v>
      </c>
      <c r="K127" s="58" t="s">
        <v>281</v>
      </c>
      <c r="L127" s="59" t="s">
        <v>280</v>
      </c>
      <c r="M127" s="60" t="s">
        <v>282</v>
      </c>
    </row>
    <row r="128" spans="1:13" x14ac:dyDescent="0.2">
      <c r="A128" s="5" t="str">
        <f t="shared" si="1"/>
        <v/>
      </c>
      <c r="B128" s="37">
        <v>44002</v>
      </c>
      <c r="C128" s="40" t="s">
        <v>113</v>
      </c>
      <c r="D128" s="55" t="str">
        <f>IFERROR(IF(COV_TRACK[[#This Row],[Employee Name]]="","",VLOOKUP(COV_TRACK[[#This Row],[Employee Name]],Database!B:F,2,0)),"")</f>
        <v>EMP-00046</v>
      </c>
      <c r="E128" s="72">
        <f>IFERROR(IF(COV_TRACK[[#This Row],[Employee Name]]="","",VLOOKUP(COV_TRACK[[#This Row],[Employee Name]],Database!B:F,3,0)),"")</f>
        <v>38</v>
      </c>
      <c r="F128" s="55" t="str">
        <f>IFERROR(IF(COV_TRACK[[#This Row],[Employee Name]]="","",VLOOKUP(COV_TRACK[[#This Row],[Employee Name]],Database!B:F,4,0)),"")</f>
        <v>M</v>
      </c>
      <c r="G128" s="55" t="str">
        <f>IFERROR(IF(COV_TRACK[[#This Row],[Employee Name]]="","",VLOOKUP(COV_TRACK[[#This Row],[Employee Name]],Database!B:F,5,0)),"")</f>
        <v>QA</v>
      </c>
      <c r="H128" s="56">
        <v>38</v>
      </c>
      <c r="I128" s="57" t="str">
        <f>IFERROR(IF(COV_TRACK[[#This Row],[TEMP  Cº]]="","",IF(COV_TRACK[[#This Row],[TEMP  Cº]]&lt;=Database!$N$5,Database!$L$5,IF(COV_TRACK[[#This Row],[TEMP  Cº]]&lt;=Database!$N$6,Database!$L$6,IF(COV_TRACK[[#This Row],[TEMP  Cº]]&lt;=Database!$N$7,Database!$L$7,Database!$L$8)))),"")</f>
        <v>Medium Risk</v>
      </c>
      <c r="J128" s="25" t="s">
        <v>279</v>
      </c>
      <c r="K128" s="58" t="s">
        <v>281</v>
      </c>
      <c r="L128" s="59" t="s">
        <v>280</v>
      </c>
      <c r="M128" s="60" t="s">
        <v>282</v>
      </c>
    </row>
    <row r="129" spans="1:13" x14ac:dyDescent="0.2">
      <c r="A129" s="5" t="str">
        <f t="shared" si="1"/>
        <v/>
      </c>
      <c r="B129" s="37">
        <v>44121</v>
      </c>
      <c r="C129" s="40" t="s">
        <v>141</v>
      </c>
      <c r="D129" s="55" t="str">
        <f>IFERROR(IF(COV_TRACK[[#This Row],[Employee Name]]="","",VLOOKUP(COV_TRACK[[#This Row],[Employee Name]],Database!B:F,2,0)),"")</f>
        <v>EMP-00074</v>
      </c>
      <c r="E129" s="72">
        <f>IFERROR(IF(COV_TRACK[[#This Row],[Employee Name]]="","",VLOOKUP(COV_TRACK[[#This Row],[Employee Name]],Database!B:F,3,0)),"")</f>
        <v>29</v>
      </c>
      <c r="F129" s="55" t="str">
        <f>IFERROR(IF(COV_TRACK[[#This Row],[Employee Name]]="","",VLOOKUP(COV_TRACK[[#This Row],[Employee Name]],Database!B:F,4,0)),"")</f>
        <v>M</v>
      </c>
      <c r="G129" s="55" t="str">
        <f>IFERROR(IF(COV_TRACK[[#This Row],[Employee Name]]="","",VLOOKUP(COV_TRACK[[#This Row],[Employee Name]],Database!B:F,5,0)),"")</f>
        <v>Delivery</v>
      </c>
      <c r="H129" s="56">
        <v>38</v>
      </c>
      <c r="I129" s="57" t="str">
        <f>IFERROR(IF(COV_TRACK[[#This Row],[TEMP  Cº]]="","",IF(COV_TRACK[[#This Row],[TEMP  Cº]]&lt;=Database!$N$5,Database!$L$5,IF(COV_TRACK[[#This Row],[TEMP  Cº]]&lt;=Database!$N$6,Database!$L$6,IF(COV_TRACK[[#This Row],[TEMP  Cº]]&lt;=Database!$N$7,Database!$L$7,Database!$L$8)))),"")</f>
        <v>Medium Risk</v>
      </c>
      <c r="J129" s="25" t="s">
        <v>279</v>
      </c>
      <c r="K129" s="58" t="s">
        <v>281</v>
      </c>
      <c r="L129" s="59" t="s">
        <v>280</v>
      </c>
      <c r="M129" s="60" t="s">
        <v>282</v>
      </c>
    </row>
    <row r="130" spans="1:13" x14ac:dyDescent="0.2">
      <c r="A130" s="5" t="str">
        <f t="shared" si="1"/>
        <v/>
      </c>
      <c r="B130" s="37">
        <v>44120</v>
      </c>
      <c r="C130" s="40" t="s">
        <v>104</v>
      </c>
      <c r="D130" s="55" t="str">
        <f>IFERROR(IF(COV_TRACK[[#This Row],[Employee Name]]="","",VLOOKUP(COV_TRACK[[#This Row],[Employee Name]],Database!B:F,2,0)),"")</f>
        <v>EMP-00037</v>
      </c>
      <c r="E130" s="72">
        <f>IFERROR(IF(COV_TRACK[[#This Row],[Employee Name]]="","",VLOOKUP(COV_TRACK[[#This Row],[Employee Name]],Database!B:F,3,0)),"")</f>
        <v>29</v>
      </c>
      <c r="F130" s="55" t="str">
        <f>IFERROR(IF(COV_TRACK[[#This Row],[Employee Name]]="","",VLOOKUP(COV_TRACK[[#This Row],[Employee Name]],Database!B:F,4,0)),"")</f>
        <v>F</v>
      </c>
      <c r="G130" s="55" t="str">
        <f>IFERROR(IF(COV_TRACK[[#This Row],[Employee Name]]="","",VLOOKUP(COV_TRACK[[#This Row],[Employee Name]],Database!B:F,5,0)),"")</f>
        <v>Planning</v>
      </c>
      <c r="H130" s="56">
        <v>37</v>
      </c>
      <c r="I130" s="57" t="str">
        <f>IFERROR(IF(COV_TRACK[[#This Row],[TEMP  Cº]]="","",IF(COV_TRACK[[#This Row],[TEMP  Cº]]&lt;=Database!$N$5,Database!$L$5,IF(COV_TRACK[[#This Row],[TEMP  Cº]]&lt;=Database!$N$6,Database!$L$6,IF(COV_TRACK[[#This Row],[TEMP  Cº]]&lt;=Database!$N$7,Database!$L$7,Database!$L$8)))),"")</f>
        <v>Normal</v>
      </c>
      <c r="J130" s="25" t="s">
        <v>279</v>
      </c>
      <c r="K130" s="58" t="s">
        <v>281</v>
      </c>
      <c r="L130" s="59" t="s">
        <v>280</v>
      </c>
      <c r="M130" s="60" t="s">
        <v>282</v>
      </c>
    </row>
    <row r="131" spans="1:13" x14ac:dyDescent="0.2">
      <c r="A131" s="5" t="str">
        <f t="shared" si="1"/>
        <v/>
      </c>
      <c r="B131" s="37">
        <v>43970</v>
      </c>
      <c r="C131" s="40" t="s">
        <v>136</v>
      </c>
      <c r="D131" s="55" t="str">
        <f>IFERROR(IF(COV_TRACK[[#This Row],[Employee Name]]="","",VLOOKUP(COV_TRACK[[#This Row],[Employee Name]],Database!B:F,2,0)),"")</f>
        <v>EMP-00069</v>
      </c>
      <c r="E131" s="72">
        <f>IFERROR(IF(COV_TRACK[[#This Row],[Employee Name]]="","",VLOOKUP(COV_TRACK[[#This Row],[Employee Name]],Database!B:F,3,0)),"")</f>
        <v>38</v>
      </c>
      <c r="F131" s="55" t="str">
        <f>IFERROR(IF(COV_TRACK[[#This Row],[Employee Name]]="","",VLOOKUP(COV_TRACK[[#This Row],[Employee Name]],Database!B:F,4,0)),"")</f>
        <v>M</v>
      </c>
      <c r="G131" s="55" t="str">
        <f>IFERROR(IF(COV_TRACK[[#This Row],[Employee Name]]="","",VLOOKUP(COV_TRACK[[#This Row],[Employee Name]],Database!B:F,5,0)),"")</f>
        <v>Production</v>
      </c>
      <c r="H131" s="56">
        <v>38</v>
      </c>
      <c r="I131" s="57" t="str">
        <f>IFERROR(IF(COV_TRACK[[#This Row],[TEMP  Cº]]="","",IF(COV_TRACK[[#This Row],[TEMP  Cº]]&lt;=Database!$N$5,Database!$L$5,IF(COV_TRACK[[#This Row],[TEMP  Cº]]&lt;=Database!$N$6,Database!$L$6,IF(COV_TRACK[[#This Row],[TEMP  Cº]]&lt;=Database!$N$7,Database!$L$7,Database!$L$8)))),"")</f>
        <v>Medium Risk</v>
      </c>
      <c r="J131" s="25" t="s">
        <v>279</v>
      </c>
      <c r="K131" s="58" t="s">
        <v>281</v>
      </c>
      <c r="L131" s="59" t="s">
        <v>280</v>
      </c>
      <c r="M131" s="60" t="s">
        <v>282</v>
      </c>
    </row>
    <row r="132" spans="1:13" x14ac:dyDescent="0.2">
      <c r="A132" s="5" t="str">
        <f t="shared" ref="A132:A195" si="2">IF(AND(B131&lt;&gt;"",B132=""),$A$2&amp;"---&gt;","")</f>
        <v/>
      </c>
      <c r="B132" s="37">
        <v>43854</v>
      </c>
      <c r="C132" s="40" t="s">
        <v>96</v>
      </c>
      <c r="D132" s="55" t="str">
        <f>IFERROR(IF(COV_TRACK[[#This Row],[Employee Name]]="","",VLOOKUP(COV_TRACK[[#This Row],[Employee Name]],Database!B:F,2,0)),"")</f>
        <v>EMP-00029</v>
      </c>
      <c r="E132" s="72">
        <f>IFERROR(IF(COV_TRACK[[#This Row],[Employee Name]]="","",VLOOKUP(COV_TRACK[[#This Row],[Employee Name]],Database!B:F,3,0)),"")</f>
        <v>37</v>
      </c>
      <c r="F132" s="55" t="str">
        <f>IFERROR(IF(COV_TRACK[[#This Row],[Employee Name]]="","",VLOOKUP(COV_TRACK[[#This Row],[Employee Name]],Database!B:F,4,0)),"")</f>
        <v>M</v>
      </c>
      <c r="G132" s="55" t="str">
        <f>IFERROR(IF(COV_TRACK[[#This Row],[Employee Name]]="","",VLOOKUP(COV_TRACK[[#This Row],[Employee Name]],Database!B:F,5,0)),"")</f>
        <v>Warehouse</v>
      </c>
      <c r="H132" s="56">
        <v>38</v>
      </c>
      <c r="I132" s="57" t="str">
        <f>IFERROR(IF(COV_TRACK[[#This Row],[TEMP  Cº]]="","",IF(COV_TRACK[[#This Row],[TEMP  Cº]]&lt;=Database!$N$5,Database!$L$5,IF(COV_TRACK[[#This Row],[TEMP  Cº]]&lt;=Database!$N$6,Database!$L$6,IF(COV_TRACK[[#This Row],[TEMP  Cº]]&lt;=Database!$N$7,Database!$L$7,Database!$L$8)))),"")</f>
        <v>Medium Risk</v>
      </c>
      <c r="J132" s="25" t="s">
        <v>279</v>
      </c>
      <c r="K132" s="58" t="s">
        <v>281</v>
      </c>
      <c r="L132" s="59" t="s">
        <v>280</v>
      </c>
      <c r="M132" s="60" t="s">
        <v>282</v>
      </c>
    </row>
    <row r="133" spans="1:13" x14ac:dyDescent="0.2">
      <c r="A133" s="5" t="str">
        <f t="shared" si="2"/>
        <v/>
      </c>
      <c r="B133" s="37">
        <v>43972</v>
      </c>
      <c r="C133" s="40" t="s">
        <v>100</v>
      </c>
      <c r="D133" s="55" t="str">
        <f>IFERROR(IF(COV_TRACK[[#This Row],[Employee Name]]="","",VLOOKUP(COV_TRACK[[#This Row],[Employee Name]],Database!B:F,2,0)),"")</f>
        <v>EMP-00033</v>
      </c>
      <c r="E133" s="72">
        <f>IFERROR(IF(COV_TRACK[[#This Row],[Employee Name]]="","",VLOOKUP(COV_TRACK[[#This Row],[Employee Name]],Database!B:F,3,0)),"")</f>
        <v>31</v>
      </c>
      <c r="F133" s="55" t="str">
        <f>IFERROR(IF(COV_TRACK[[#This Row],[Employee Name]]="","",VLOOKUP(COV_TRACK[[#This Row],[Employee Name]],Database!B:F,4,0)),"")</f>
        <v>F</v>
      </c>
      <c r="G133" s="55" t="str">
        <f>IFERROR(IF(COV_TRACK[[#This Row],[Employee Name]]="","",VLOOKUP(COV_TRACK[[#This Row],[Employee Name]],Database!B:F,5,0)),"")</f>
        <v>HR</v>
      </c>
      <c r="H133" s="56">
        <v>39</v>
      </c>
      <c r="I133" s="57" t="str">
        <f>IFERROR(IF(COV_TRACK[[#This Row],[TEMP  Cº]]="","",IF(COV_TRACK[[#This Row],[TEMP  Cº]]&lt;=Database!$N$5,Database!$L$5,IF(COV_TRACK[[#This Row],[TEMP  Cº]]&lt;=Database!$N$6,Database!$L$6,IF(COV_TRACK[[#This Row],[TEMP  Cº]]&lt;=Database!$N$7,Database!$L$7,Database!$L$8)))),"")</f>
        <v>High Risk</v>
      </c>
      <c r="J133" s="25" t="s">
        <v>279</v>
      </c>
      <c r="K133" s="58" t="s">
        <v>281</v>
      </c>
      <c r="L133" s="59" t="s">
        <v>280</v>
      </c>
      <c r="M133" s="60" t="s">
        <v>283</v>
      </c>
    </row>
    <row r="134" spans="1:13" x14ac:dyDescent="0.2">
      <c r="A134" s="5" t="str">
        <f t="shared" si="2"/>
        <v/>
      </c>
      <c r="B134" s="37">
        <v>44194</v>
      </c>
      <c r="C134" s="40" t="s">
        <v>123</v>
      </c>
      <c r="D134" s="55" t="str">
        <f>IFERROR(IF(COV_TRACK[[#This Row],[Employee Name]]="","",VLOOKUP(COV_TRACK[[#This Row],[Employee Name]],Database!B:F,2,0)),"")</f>
        <v>EMP-00056</v>
      </c>
      <c r="E134" s="72">
        <f>IFERROR(IF(COV_TRACK[[#This Row],[Employee Name]]="","",VLOOKUP(COV_TRACK[[#This Row],[Employee Name]],Database!B:F,3,0)),"")</f>
        <v>36</v>
      </c>
      <c r="F134" s="55" t="str">
        <f>IFERROR(IF(COV_TRACK[[#This Row],[Employee Name]]="","",VLOOKUP(COV_TRACK[[#This Row],[Employee Name]],Database!B:F,4,0)),"")</f>
        <v>M</v>
      </c>
      <c r="G134" s="55" t="str">
        <f>IFERROR(IF(COV_TRACK[[#This Row],[Employee Name]]="","",VLOOKUP(COV_TRACK[[#This Row],[Employee Name]],Database!B:F,5,0)),"")</f>
        <v>Planning</v>
      </c>
      <c r="H134" s="56">
        <v>38</v>
      </c>
      <c r="I134" s="57" t="str">
        <f>IFERROR(IF(COV_TRACK[[#This Row],[TEMP  Cº]]="","",IF(COV_TRACK[[#This Row],[TEMP  Cº]]&lt;=Database!$N$5,Database!$L$5,IF(COV_TRACK[[#This Row],[TEMP  Cº]]&lt;=Database!$N$6,Database!$L$6,IF(COV_TRACK[[#This Row],[TEMP  Cº]]&lt;=Database!$N$7,Database!$L$7,Database!$L$8)))),"")</f>
        <v>Medium Risk</v>
      </c>
      <c r="J134" s="25" t="s">
        <v>279</v>
      </c>
      <c r="K134" s="58" t="s">
        <v>281</v>
      </c>
      <c r="L134" s="59" t="s">
        <v>280</v>
      </c>
      <c r="M134" s="60" t="s">
        <v>282</v>
      </c>
    </row>
    <row r="135" spans="1:13" x14ac:dyDescent="0.2">
      <c r="A135" s="5" t="str">
        <f t="shared" si="2"/>
        <v/>
      </c>
      <c r="B135" s="37">
        <v>43931</v>
      </c>
      <c r="C135" s="40" t="s">
        <v>97</v>
      </c>
      <c r="D135" s="55" t="str">
        <f>IFERROR(IF(COV_TRACK[[#This Row],[Employee Name]]="","",VLOOKUP(COV_TRACK[[#This Row],[Employee Name]],Database!B:F,2,0)),"")</f>
        <v>EMP-00030</v>
      </c>
      <c r="E135" s="72">
        <f>IFERROR(IF(COV_TRACK[[#This Row],[Employee Name]]="","",VLOOKUP(COV_TRACK[[#This Row],[Employee Name]],Database!B:F,3,0)),"")</f>
        <v>38</v>
      </c>
      <c r="F135" s="55" t="str">
        <f>IFERROR(IF(COV_TRACK[[#This Row],[Employee Name]]="","",VLOOKUP(COV_TRACK[[#This Row],[Employee Name]],Database!B:F,4,0)),"")</f>
        <v>M</v>
      </c>
      <c r="G135" s="55" t="str">
        <f>IFERROR(IF(COV_TRACK[[#This Row],[Employee Name]]="","",VLOOKUP(COV_TRACK[[#This Row],[Employee Name]],Database!B:F,5,0)),"")</f>
        <v>QA</v>
      </c>
      <c r="H135" s="56">
        <v>37</v>
      </c>
      <c r="I135" s="57" t="str">
        <f>IFERROR(IF(COV_TRACK[[#This Row],[TEMP  Cº]]="","",IF(COV_TRACK[[#This Row],[TEMP  Cº]]&lt;=Database!$N$5,Database!$L$5,IF(COV_TRACK[[#This Row],[TEMP  Cº]]&lt;=Database!$N$6,Database!$L$6,IF(COV_TRACK[[#This Row],[TEMP  Cº]]&lt;=Database!$N$7,Database!$L$7,Database!$L$8)))),"")</f>
        <v>Normal</v>
      </c>
      <c r="J135" s="25" t="s">
        <v>279</v>
      </c>
      <c r="K135" s="58" t="s">
        <v>281</v>
      </c>
      <c r="L135" s="59" t="s">
        <v>280</v>
      </c>
      <c r="M135" s="60" t="s">
        <v>282</v>
      </c>
    </row>
    <row r="136" spans="1:13" x14ac:dyDescent="0.2">
      <c r="A136" s="5" t="str">
        <f t="shared" si="2"/>
        <v/>
      </c>
      <c r="B136" s="37">
        <v>44189</v>
      </c>
      <c r="C136" s="40" t="s">
        <v>161</v>
      </c>
      <c r="D136" s="55" t="str">
        <f>IFERROR(IF(COV_TRACK[[#This Row],[Employee Name]]="","",VLOOKUP(COV_TRACK[[#This Row],[Employee Name]],Database!B:F,2,0)),"")</f>
        <v>EMP-00094</v>
      </c>
      <c r="E136" s="72">
        <f>IFERROR(IF(COV_TRACK[[#This Row],[Employee Name]]="","",VLOOKUP(COV_TRACK[[#This Row],[Employee Name]],Database!B:F,3,0)),"")</f>
        <v>32</v>
      </c>
      <c r="F136" s="55" t="str">
        <f>IFERROR(IF(COV_TRACK[[#This Row],[Employee Name]]="","",VLOOKUP(COV_TRACK[[#This Row],[Employee Name]],Database!B:F,4,0)),"")</f>
        <v>F</v>
      </c>
      <c r="G136" s="55" t="str">
        <f>IFERROR(IF(COV_TRACK[[#This Row],[Employee Name]]="","",VLOOKUP(COV_TRACK[[#This Row],[Employee Name]],Database!B:F,5,0)),"")</f>
        <v>Purchasing</v>
      </c>
      <c r="H136" s="56">
        <v>37</v>
      </c>
      <c r="I136" s="57" t="str">
        <f>IFERROR(IF(COV_TRACK[[#This Row],[TEMP  Cº]]="","",IF(COV_TRACK[[#This Row],[TEMP  Cº]]&lt;=Database!$N$5,Database!$L$5,IF(COV_TRACK[[#This Row],[TEMP  Cº]]&lt;=Database!$N$6,Database!$L$6,IF(COV_TRACK[[#This Row],[TEMP  Cº]]&lt;=Database!$N$7,Database!$L$7,Database!$L$8)))),"")</f>
        <v>Normal</v>
      </c>
      <c r="J136" s="25" t="s">
        <v>279</v>
      </c>
      <c r="K136" s="58" t="s">
        <v>281</v>
      </c>
      <c r="L136" s="59" t="s">
        <v>280</v>
      </c>
      <c r="M136" s="60" t="s">
        <v>282</v>
      </c>
    </row>
    <row r="137" spans="1:13" x14ac:dyDescent="0.2">
      <c r="A137" s="5" t="str">
        <f t="shared" si="2"/>
        <v/>
      </c>
      <c r="B137" s="37">
        <v>44178</v>
      </c>
      <c r="C137" s="40" t="s">
        <v>112</v>
      </c>
      <c r="D137" s="55" t="str">
        <f>IFERROR(IF(COV_TRACK[[#This Row],[Employee Name]]="","",VLOOKUP(COV_TRACK[[#This Row],[Employee Name]],Database!B:F,2,0)),"")</f>
        <v>EMP-00045</v>
      </c>
      <c r="E137" s="72">
        <f>IFERROR(IF(COV_TRACK[[#This Row],[Employee Name]]="","",VLOOKUP(COV_TRACK[[#This Row],[Employee Name]],Database!B:F,3,0)),"")</f>
        <v>27</v>
      </c>
      <c r="F137" s="55" t="str">
        <f>IFERROR(IF(COV_TRACK[[#This Row],[Employee Name]]="","",VLOOKUP(COV_TRACK[[#This Row],[Employee Name]],Database!B:F,4,0)),"")</f>
        <v>F</v>
      </c>
      <c r="G137" s="55" t="str">
        <f>IFERROR(IF(COV_TRACK[[#This Row],[Employee Name]]="","",VLOOKUP(COV_TRACK[[#This Row],[Employee Name]],Database!B:F,5,0)),"")</f>
        <v>Warehouse</v>
      </c>
      <c r="H137" s="56">
        <v>37</v>
      </c>
      <c r="I137" s="57" t="str">
        <f>IFERROR(IF(COV_TRACK[[#This Row],[TEMP  Cº]]="","",IF(COV_TRACK[[#This Row],[TEMP  Cº]]&lt;=Database!$N$5,Database!$L$5,IF(COV_TRACK[[#This Row],[TEMP  Cº]]&lt;=Database!$N$6,Database!$L$6,IF(COV_TRACK[[#This Row],[TEMP  Cº]]&lt;=Database!$N$7,Database!$L$7,Database!$L$8)))),"")</f>
        <v>Normal</v>
      </c>
      <c r="J137" s="25" t="s">
        <v>279</v>
      </c>
      <c r="K137" s="58" t="s">
        <v>281</v>
      </c>
      <c r="L137" s="59" t="s">
        <v>280</v>
      </c>
      <c r="M137" s="60" t="s">
        <v>282</v>
      </c>
    </row>
    <row r="138" spans="1:13" x14ac:dyDescent="0.2">
      <c r="A138" s="5" t="str">
        <f t="shared" si="2"/>
        <v/>
      </c>
      <c r="B138" s="37">
        <v>43903</v>
      </c>
      <c r="C138" s="40" t="s">
        <v>146</v>
      </c>
      <c r="D138" s="55" t="str">
        <f>IFERROR(IF(COV_TRACK[[#This Row],[Employee Name]]="","",VLOOKUP(COV_TRACK[[#This Row],[Employee Name]],Database!B:F,2,0)),"")</f>
        <v>EMP-00079</v>
      </c>
      <c r="E138" s="72">
        <f>IFERROR(IF(COV_TRACK[[#This Row],[Employee Name]]="","",VLOOKUP(COV_TRACK[[#This Row],[Employee Name]],Database!B:F,3,0)),"")</f>
        <v>37</v>
      </c>
      <c r="F138" s="55" t="str">
        <f>IFERROR(IF(COV_TRACK[[#This Row],[Employee Name]]="","",VLOOKUP(COV_TRACK[[#This Row],[Employee Name]],Database!B:F,4,0)),"")</f>
        <v>M</v>
      </c>
      <c r="G138" s="55" t="str">
        <f>IFERROR(IF(COV_TRACK[[#This Row],[Employee Name]]="","",VLOOKUP(COV_TRACK[[#This Row],[Employee Name]],Database!B:F,5,0)),"")</f>
        <v>Production</v>
      </c>
      <c r="H138" s="56">
        <v>38</v>
      </c>
      <c r="I138" s="57" t="str">
        <f>IFERROR(IF(COV_TRACK[[#This Row],[TEMP  Cº]]="","",IF(COV_TRACK[[#This Row],[TEMP  Cº]]&lt;=Database!$N$5,Database!$L$5,IF(COV_TRACK[[#This Row],[TEMP  Cº]]&lt;=Database!$N$6,Database!$L$6,IF(COV_TRACK[[#This Row],[TEMP  Cº]]&lt;=Database!$N$7,Database!$L$7,Database!$L$8)))),"")</f>
        <v>Medium Risk</v>
      </c>
      <c r="J138" s="25" t="s">
        <v>279</v>
      </c>
      <c r="K138" s="58" t="s">
        <v>281</v>
      </c>
      <c r="L138" s="59" t="s">
        <v>280</v>
      </c>
      <c r="M138" s="60" t="s">
        <v>282</v>
      </c>
    </row>
    <row r="139" spans="1:13" x14ac:dyDescent="0.2">
      <c r="A139" s="5" t="str">
        <f t="shared" si="2"/>
        <v/>
      </c>
      <c r="B139" s="37">
        <v>43868</v>
      </c>
      <c r="C139" s="40" t="s">
        <v>150</v>
      </c>
      <c r="D139" s="55" t="str">
        <f>IFERROR(IF(COV_TRACK[[#This Row],[Employee Name]]="","",VLOOKUP(COV_TRACK[[#This Row],[Employee Name]],Database!B:F,2,0)),"")</f>
        <v>EMP-00083</v>
      </c>
      <c r="E139" s="72">
        <f>IFERROR(IF(COV_TRACK[[#This Row],[Employee Name]]="","",VLOOKUP(COV_TRACK[[#This Row],[Employee Name]],Database!B:F,3,0)),"")</f>
        <v>27</v>
      </c>
      <c r="F139" s="55" t="str">
        <f>IFERROR(IF(COV_TRACK[[#This Row],[Employee Name]]="","",VLOOKUP(COV_TRACK[[#This Row],[Employee Name]],Database!B:F,4,0)),"")</f>
        <v>M</v>
      </c>
      <c r="G139" s="55" t="str">
        <f>IFERROR(IF(COV_TRACK[[#This Row],[Employee Name]]="","",VLOOKUP(COV_TRACK[[#This Row],[Employee Name]],Database!B:F,5,0)),"")</f>
        <v>QA</v>
      </c>
      <c r="H139" s="56">
        <v>37</v>
      </c>
      <c r="I139" s="57" t="str">
        <f>IFERROR(IF(COV_TRACK[[#This Row],[TEMP  Cº]]="","",IF(COV_TRACK[[#This Row],[TEMP  Cº]]&lt;=Database!$N$5,Database!$L$5,IF(COV_TRACK[[#This Row],[TEMP  Cº]]&lt;=Database!$N$6,Database!$L$6,IF(COV_TRACK[[#This Row],[TEMP  Cº]]&lt;=Database!$N$7,Database!$L$7,Database!$L$8)))),"")</f>
        <v>Normal</v>
      </c>
      <c r="J139" s="25" t="s">
        <v>279</v>
      </c>
      <c r="K139" s="58" t="s">
        <v>281</v>
      </c>
      <c r="L139" s="59" t="s">
        <v>280</v>
      </c>
      <c r="M139" s="60" t="s">
        <v>282</v>
      </c>
    </row>
    <row r="140" spans="1:13" x14ac:dyDescent="0.2">
      <c r="A140" s="5" t="str">
        <f t="shared" si="2"/>
        <v/>
      </c>
      <c r="B140" s="37">
        <v>44103</v>
      </c>
      <c r="C140" s="40" t="s">
        <v>103</v>
      </c>
      <c r="D140" s="55" t="str">
        <f>IFERROR(IF(COV_TRACK[[#This Row],[Employee Name]]="","",VLOOKUP(COV_TRACK[[#This Row],[Employee Name]],Database!B:F,2,0)),"")</f>
        <v>EMP-00036</v>
      </c>
      <c r="E140" s="72">
        <f>IFERROR(IF(COV_TRACK[[#This Row],[Employee Name]]="","",VLOOKUP(COV_TRACK[[#This Row],[Employee Name]],Database!B:F,3,0)),"")</f>
        <v>38</v>
      </c>
      <c r="F140" s="55" t="str">
        <f>IFERROR(IF(COV_TRACK[[#This Row],[Employee Name]]="","",VLOOKUP(COV_TRACK[[#This Row],[Employee Name]],Database!B:F,4,0)),"")</f>
        <v>F</v>
      </c>
      <c r="G140" s="55" t="str">
        <f>IFERROR(IF(COV_TRACK[[#This Row],[Employee Name]]="","",VLOOKUP(COV_TRACK[[#This Row],[Employee Name]],Database!B:F,5,0)),"")</f>
        <v>Planning</v>
      </c>
      <c r="H140" s="56">
        <v>37</v>
      </c>
      <c r="I140" s="57" t="str">
        <f>IFERROR(IF(COV_TRACK[[#This Row],[TEMP  Cº]]="","",IF(COV_TRACK[[#This Row],[TEMP  Cº]]&lt;=Database!$N$5,Database!$L$5,IF(COV_TRACK[[#This Row],[TEMP  Cº]]&lt;=Database!$N$6,Database!$L$6,IF(COV_TRACK[[#This Row],[TEMP  Cº]]&lt;=Database!$N$7,Database!$L$7,Database!$L$8)))),"")</f>
        <v>Normal</v>
      </c>
      <c r="J140" s="25" t="s">
        <v>279</v>
      </c>
      <c r="K140" s="58" t="s">
        <v>281</v>
      </c>
      <c r="L140" s="59" t="s">
        <v>280</v>
      </c>
      <c r="M140" s="60" t="s">
        <v>282</v>
      </c>
    </row>
    <row r="141" spans="1:13" x14ac:dyDescent="0.2">
      <c r="A141" s="5" t="str">
        <f t="shared" si="2"/>
        <v/>
      </c>
      <c r="B141" s="37">
        <v>44135</v>
      </c>
      <c r="C141" s="40" t="s">
        <v>29</v>
      </c>
      <c r="D141" s="55" t="str">
        <f>IFERROR(IF(COV_TRACK[[#This Row],[Employee Name]]="","",VLOOKUP(COV_TRACK[[#This Row],[Employee Name]],Database!B:F,2,0)),"")</f>
        <v>EMP-00002</v>
      </c>
      <c r="E141" s="72">
        <f>IFERROR(IF(COV_TRACK[[#This Row],[Employee Name]]="","",VLOOKUP(COV_TRACK[[#This Row],[Employee Name]],Database!B:F,3,0)),"")</f>
        <v>36</v>
      </c>
      <c r="F141" s="55" t="str">
        <f>IFERROR(IF(COV_TRACK[[#This Row],[Employee Name]]="","",VLOOKUP(COV_TRACK[[#This Row],[Employee Name]],Database!B:F,4,0)),"")</f>
        <v>M</v>
      </c>
      <c r="G141" s="55" t="str">
        <f>IFERROR(IF(COV_TRACK[[#This Row],[Employee Name]]="","",VLOOKUP(COV_TRACK[[#This Row],[Employee Name]],Database!B:F,5,0)),"")</f>
        <v>Planning</v>
      </c>
      <c r="H141" s="56">
        <v>37</v>
      </c>
      <c r="I141" s="57" t="str">
        <f>IFERROR(IF(COV_TRACK[[#This Row],[TEMP  Cº]]="","",IF(COV_TRACK[[#This Row],[TEMP  Cº]]&lt;=Database!$N$5,Database!$L$5,IF(COV_TRACK[[#This Row],[TEMP  Cº]]&lt;=Database!$N$6,Database!$L$6,IF(COV_TRACK[[#This Row],[TEMP  Cº]]&lt;=Database!$N$7,Database!$L$7,Database!$L$8)))),"")</f>
        <v>Normal</v>
      </c>
      <c r="J141" s="25" t="s">
        <v>279</v>
      </c>
      <c r="K141" s="58" t="s">
        <v>281</v>
      </c>
      <c r="L141" s="59" t="s">
        <v>280</v>
      </c>
      <c r="M141" s="60" t="s">
        <v>282</v>
      </c>
    </row>
    <row r="142" spans="1:13" x14ac:dyDescent="0.2">
      <c r="A142" s="5" t="str">
        <f t="shared" si="2"/>
        <v/>
      </c>
      <c r="B142" s="37">
        <v>43951</v>
      </c>
      <c r="C142" s="40" t="s">
        <v>121</v>
      </c>
      <c r="D142" s="55" t="str">
        <f>IFERROR(IF(COV_TRACK[[#This Row],[Employee Name]]="","",VLOOKUP(COV_TRACK[[#This Row],[Employee Name]],Database!B:F,2,0)),"")</f>
        <v>EMP-00054</v>
      </c>
      <c r="E142" s="72">
        <f>IFERROR(IF(COV_TRACK[[#This Row],[Employee Name]]="","",VLOOKUP(COV_TRACK[[#This Row],[Employee Name]],Database!B:F,3,0)),"")</f>
        <v>35</v>
      </c>
      <c r="F142" s="55" t="str">
        <f>IFERROR(IF(COV_TRACK[[#This Row],[Employee Name]]="","",VLOOKUP(COV_TRACK[[#This Row],[Employee Name]],Database!B:F,4,0)),"")</f>
        <v>M</v>
      </c>
      <c r="G142" s="55" t="str">
        <f>IFERROR(IF(COV_TRACK[[#This Row],[Employee Name]]="","",VLOOKUP(COV_TRACK[[#This Row],[Employee Name]],Database!B:F,5,0)),"")</f>
        <v>Production</v>
      </c>
      <c r="H142" s="56">
        <v>38</v>
      </c>
      <c r="I142" s="57" t="str">
        <f>IFERROR(IF(COV_TRACK[[#This Row],[TEMP  Cº]]="","",IF(COV_TRACK[[#This Row],[TEMP  Cº]]&lt;=Database!$N$5,Database!$L$5,IF(COV_TRACK[[#This Row],[TEMP  Cº]]&lt;=Database!$N$6,Database!$L$6,IF(COV_TRACK[[#This Row],[TEMP  Cº]]&lt;=Database!$N$7,Database!$L$7,Database!$L$8)))),"")</f>
        <v>Medium Risk</v>
      </c>
      <c r="J142" s="25" t="s">
        <v>280</v>
      </c>
      <c r="K142" s="58" t="s">
        <v>281</v>
      </c>
      <c r="L142" s="59" t="s">
        <v>280</v>
      </c>
      <c r="M142" s="60" t="s">
        <v>282</v>
      </c>
    </row>
    <row r="143" spans="1:13" x14ac:dyDescent="0.2">
      <c r="A143" s="5" t="str">
        <f t="shared" si="2"/>
        <v/>
      </c>
      <c r="B143" s="37">
        <v>43911</v>
      </c>
      <c r="C143" s="40" t="s">
        <v>172</v>
      </c>
      <c r="D143" s="55" t="str">
        <f>IFERROR(IF(COV_TRACK[[#This Row],[Employee Name]]="","",VLOOKUP(COV_TRACK[[#This Row],[Employee Name]],Database!B:F,2,0)),"")</f>
        <v>EMP-00105</v>
      </c>
      <c r="E143" s="72">
        <f>IFERROR(IF(COV_TRACK[[#This Row],[Employee Name]]="","",VLOOKUP(COV_TRACK[[#This Row],[Employee Name]],Database!B:F,3,0)),"")</f>
        <v>29</v>
      </c>
      <c r="F143" s="55" t="str">
        <f>IFERROR(IF(COV_TRACK[[#This Row],[Employee Name]]="","",VLOOKUP(COV_TRACK[[#This Row],[Employee Name]],Database!B:F,4,0)),"")</f>
        <v>F</v>
      </c>
      <c r="G143" s="55" t="str">
        <f>IFERROR(IF(COV_TRACK[[#This Row],[Employee Name]]="","",VLOOKUP(COV_TRACK[[#This Row],[Employee Name]],Database!B:F,5,0)),"")</f>
        <v>HR</v>
      </c>
      <c r="H143" s="56">
        <v>38</v>
      </c>
      <c r="I143" s="57" t="str">
        <f>IFERROR(IF(COV_TRACK[[#This Row],[TEMP  Cº]]="","",IF(COV_TRACK[[#This Row],[TEMP  Cº]]&lt;=Database!$N$5,Database!$L$5,IF(COV_TRACK[[#This Row],[TEMP  Cº]]&lt;=Database!$N$6,Database!$L$6,IF(COV_TRACK[[#This Row],[TEMP  Cº]]&lt;=Database!$N$7,Database!$L$7,Database!$L$8)))),"")</f>
        <v>Medium Risk</v>
      </c>
      <c r="J143" s="25" t="s">
        <v>279</v>
      </c>
      <c r="K143" s="58" t="s">
        <v>281</v>
      </c>
      <c r="L143" s="59" t="s">
        <v>280</v>
      </c>
      <c r="M143" s="60" t="s">
        <v>282</v>
      </c>
    </row>
    <row r="144" spans="1:13" x14ac:dyDescent="0.2">
      <c r="A144" s="5" t="str">
        <f t="shared" si="2"/>
        <v/>
      </c>
      <c r="B144" s="37">
        <v>44054</v>
      </c>
      <c r="C144" s="40" t="s">
        <v>102</v>
      </c>
      <c r="D144" s="55" t="str">
        <f>IFERROR(IF(COV_TRACK[[#This Row],[Employee Name]]="","",VLOOKUP(COV_TRACK[[#This Row],[Employee Name]],Database!B:F,2,0)),"")</f>
        <v>EMP-00035</v>
      </c>
      <c r="E144" s="72">
        <f>IFERROR(IF(COV_TRACK[[#This Row],[Employee Name]]="","",VLOOKUP(COV_TRACK[[#This Row],[Employee Name]],Database!B:F,3,0)),"")</f>
        <v>33</v>
      </c>
      <c r="F144" s="55" t="str">
        <f>IFERROR(IF(COV_TRACK[[#This Row],[Employee Name]]="","",VLOOKUP(COV_TRACK[[#This Row],[Employee Name]],Database!B:F,4,0)),"")</f>
        <v>F</v>
      </c>
      <c r="G144" s="55" t="str">
        <f>IFERROR(IF(COV_TRACK[[#This Row],[Employee Name]]="","",VLOOKUP(COV_TRACK[[#This Row],[Employee Name]],Database!B:F,5,0)),"")</f>
        <v>Planning</v>
      </c>
      <c r="H144" s="56">
        <v>37</v>
      </c>
      <c r="I144" s="57" t="str">
        <f>IFERROR(IF(COV_TRACK[[#This Row],[TEMP  Cº]]="","",IF(COV_TRACK[[#This Row],[TEMP  Cº]]&lt;=Database!$N$5,Database!$L$5,IF(COV_TRACK[[#This Row],[TEMP  Cº]]&lt;=Database!$N$6,Database!$L$6,IF(COV_TRACK[[#This Row],[TEMP  Cº]]&lt;=Database!$N$7,Database!$L$7,Database!$L$8)))),"")</f>
        <v>Normal</v>
      </c>
      <c r="J144" s="25" t="s">
        <v>279</v>
      </c>
      <c r="K144" s="58" t="s">
        <v>281</v>
      </c>
      <c r="L144" s="59" t="s">
        <v>280</v>
      </c>
      <c r="M144" s="60" t="s">
        <v>282</v>
      </c>
    </row>
    <row r="145" spans="1:13" x14ac:dyDescent="0.2">
      <c r="A145" s="5" t="str">
        <f t="shared" si="2"/>
        <v/>
      </c>
      <c r="B145" s="37">
        <v>43953</v>
      </c>
      <c r="C145" s="40" t="s">
        <v>104</v>
      </c>
      <c r="D145" s="55" t="str">
        <f>IFERROR(IF(COV_TRACK[[#This Row],[Employee Name]]="","",VLOOKUP(COV_TRACK[[#This Row],[Employee Name]],Database!B:F,2,0)),"")</f>
        <v>EMP-00037</v>
      </c>
      <c r="E145" s="72">
        <f>IFERROR(IF(COV_TRACK[[#This Row],[Employee Name]]="","",VLOOKUP(COV_TRACK[[#This Row],[Employee Name]],Database!B:F,3,0)),"")</f>
        <v>29</v>
      </c>
      <c r="F145" s="55" t="str">
        <f>IFERROR(IF(COV_TRACK[[#This Row],[Employee Name]]="","",VLOOKUP(COV_TRACK[[#This Row],[Employee Name]],Database!B:F,4,0)),"")</f>
        <v>F</v>
      </c>
      <c r="G145" s="55" t="str">
        <f>IFERROR(IF(COV_TRACK[[#This Row],[Employee Name]]="","",VLOOKUP(COV_TRACK[[#This Row],[Employee Name]],Database!B:F,5,0)),"")</f>
        <v>Planning</v>
      </c>
      <c r="H145" s="56">
        <v>38</v>
      </c>
      <c r="I145" s="57" t="str">
        <f>IFERROR(IF(COV_TRACK[[#This Row],[TEMP  Cº]]="","",IF(COV_TRACK[[#This Row],[TEMP  Cº]]&lt;=Database!$N$5,Database!$L$5,IF(COV_TRACK[[#This Row],[TEMP  Cº]]&lt;=Database!$N$6,Database!$L$6,IF(COV_TRACK[[#This Row],[TEMP  Cº]]&lt;=Database!$N$7,Database!$L$7,Database!$L$8)))),"")</f>
        <v>Medium Risk</v>
      </c>
      <c r="J145" s="25" t="s">
        <v>279</v>
      </c>
      <c r="K145" s="58" t="s">
        <v>281</v>
      </c>
      <c r="L145" s="59" t="s">
        <v>280</v>
      </c>
      <c r="M145" s="60" t="s">
        <v>282</v>
      </c>
    </row>
    <row r="146" spans="1:13" x14ac:dyDescent="0.2">
      <c r="A146" s="5" t="str">
        <f t="shared" si="2"/>
        <v/>
      </c>
      <c r="B146" s="37">
        <v>43863</v>
      </c>
      <c r="C146" s="40" t="s">
        <v>138</v>
      </c>
      <c r="D146" s="55" t="str">
        <f>IFERROR(IF(COV_TRACK[[#This Row],[Employee Name]]="","",VLOOKUP(COV_TRACK[[#This Row],[Employee Name]],Database!B:F,2,0)),"")</f>
        <v>EMP-00071</v>
      </c>
      <c r="E146" s="72">
        <f>IFERROR(IF(COV_TRACK[[#This Row],[Employee Name]]="","",VLOOKUP(COV_TRACK[[#This Row],[Employee Name]],Database!B:F,3,0)),"")</f>
        <v>30</v>
      </c>
      <c r="F146" s="55" t="str">
        <f>IFERROR(IF(COV_TRACK[[#This Row],[Employee Name]]="","",VLOOKUP(COV_TRACK[[#This Row],[Employee Name]],Database!B:F,4,0)),"")</f>
        <v>F</v>
      </c>
      <c r="G146" s="55" t="str">
        <f>IFERROR(IF(COV_TRACK[[#This Row],[Employee Name]]="","",VLOOKUP(COV_TRACK[[#This Row],[Employee Name]],Database!B:F,5,0)),"")</f>
        <v>Purchasing</v>
      </c>
      <c r="H146" s="56">
        <v>37</v>
      </c>
      <c r="I146" s="57" t="str">
        <f>IFERROR(IF(COV_TRACK[[#This Row],[TEMP  Cº]]="","",IF(COV_TRACK[[#This Row],[TEMP  Cº]]&lt;=Database!$N$5,Database!$L$5,IF(COV_TRACK[[#This Row],[TEMP  Cº]]&lt;=Database!$N$6,Database!$L$6,IF(COV_TRACK[[#This Row],[TEMP  Cº]]&lt;=Database!$N$7,Database!$L$7,Database!$L$8)))),"")</f>
        <v>Normal</v>
      </c>
      <c r="J146" s="25" t="s">
        <v>280</v>
      </c>
      <c r="K146" s="58" t="s">
        <v>79</v>
      </c>
      <c r="L146" s="59" t="s">
        <v>280</v>
      </c>
      <c r="M146" s="60" t="s">
        <v>282</v>
      </c>
    </row>
    <row r="147" spans="1:13" x14ac:dyDescent="0.2">
      <c r="A147" s="5" t="str">
        <f t="shared" si="2"/>
        <v/>
      </c>
      <c r="B147" s="37">
        <v>43839</v>
      </c>
      <c r="C147" s="40" t="s">
        <v>160</v>
      </c>
      <c r="D147" s="55" t="str">
        <f>IFERROR(IF(COV_TRACK[[#This Row],[Employee Name]]="","",VLOOKUP(COV_TRACK[[#This Row],[Employee Name]],Database!B:F,2,0)),"")</f>
        <v>EMP-00093</v>
      </c>
      <c r="E147" s="72">
        <f>IFERROR(IF(COV_TRACK[[#This Row],[Employee Name]]="","",VLOOKUP(COV_TRACK[[#This Row],[Employee Name]],Database!B:F,3,0)),"")</f>
        <v>38</v>
      </c>
      <c r="F147" s="55" t="str">
        <f>IFERROR(IF(COV_TRACK[[#This Row],[Employee Name]]="","",VLOOKUP(COV_TRACK[[#This Row],[Employee Name]],Database!B:F,4,0)),"")</f>
        <v>M</v>
      </c>
      <c r="G147" s="55" t="str">
        <f>IFERROR(IF(COV_TRACK[[#This Row],[Employee Name]]="","",VLOOKUP(COV_TRACK[[#This Row],[Employee Name]],Database!B:F,5,0)),"")</f>
        <v>Purchasing</v>
      </c>
      <c r="H147" s="56">
        <v>37</v>
      </c>
      <c r="I147" s="57" t="str">
        <f>IFERROR(IF(COV_TRACK[[#This Row],[TEMP  Cº]]="","",IF(COV_TRACK[[#This Row],[TEMP  Cº]]&lt;=Database!$N$5,Database!$L$5,IF(COV_TRACK[[#This Row],[TEMP  Cº]]&lt;=Database!$N$6,Database!$L$6,IF(COV_TRACK[[#This Row],[TEMP  Cº]]&lt;=Database!$N$7,Database!$L$7,Database!$L$8)))),"")</f>
        <v>Normal</v>
      </c>
      <c r="J147" s="25" t="s">
        <v>279</v>
      </c>
      <c r="K147" s="58" t="s">
        <v>281</v>
      </c>
      <c r="L147" s="59" t="s">
        <v>280</v>
      </c>
      <c r="M147" s="60" t="s">
        <v>282</v>
      </c>
    </row>
    <row r="148" spans="1:13" x14ac:dyDescent="0.2">
      <c r="A148" s="5" t="str">
        <f t="shared" si="2"/>
        <v/>
      </c>
      <c r="B148" s="37">
        <v>44140</v>
      </c>
      <c r="C148" s="40" t="s">
        <v>123</v>
      </c>
      <c r="D148" s="55" t="str">
        <f>IFERROR(IF(COV_TRACK[[#This Row],[Employee Name]]="","",VLOOKUP(COV_TRACK[[#This Row],[Employee Name]],Database!B:F,2,0)),"")</f>
        <v>EMP-00056</v>
      </c>
      <c r="E148" s="72">
        <f>IFERROR(IF(COV_TRACK[[#This Row],[Employee Name]]="","",VLOOKUP(COV_TRACK[[#This Row],[Employee Name]],Database!B:F,3,0)),"")</f>
        <v>36</v>
      </c>
      <c r="F148" s="55" t="str">
        <f>IFERROR(IF(COV_TRACK[[#This Row],[Employee Name]]="","",VLOOKUP(COV_TRACK[[#This Row],[Employee Name]],Database!B:F,4,0)),"")</f>
        <v>M</v>
      </c>
      <c r="G148" s="55" t="str">
        <f>IFERROR(IF(COV_TRACK[[#This Row],[Employee Name]]="","",VLOOKUP(COV_TRACK[[#This Row],[Employee Name]],Database!B:F,5,0)),"")</f>
        <v>Planning</v>
      </c>
      <c r="H148" s="56">
        <v>37</v>
      </c>
      <c r="I148" s="57" t="str">
        <f>IFERROR(IF(COV_TRACK[[#This Row],[TEMP  Cº]]="","",IF(COV_TRACK[[#This Row],[TEMP  Cº]]&lt;=Database!$N$5,Database!$L$5,IF(COV_TRACK[[#This Row],[TEMP  Cº]]&lt;=Database!$N$6,Database!$L$6,IF(COV_TRACK[[#This Row],[TEMP  Cº]]&lt;=Database!$N$7,Database!$L$7,Database!$L$8)))),"")</f>
        <v>Normal</v>
      </c>
      <c r="J148" s="25" t="s">
        <v>280</v>
      </c>
      <c r="K148" s="58" t="s">
        <v>281</v>
      </c>
      <c r="L148" s="59" t="s">
        <v>280</v>
      </c>
      <c r="M148" s="60" t="s">
        <v>282</v>
      </c>
    </row>
    <row r="149" spans="1:13" x14ac:dyDescent="0.2">
      <c r="A149" s="5" t="str">
        <f t="shared" si="2"/>
        <v/>
      </c>
      <c r="B149" s="37">
        <v>43995</v>
      </c>
      <c r="C149" s="40" t="s">
        <v>160</v>
      </c>
      <c r="D149" s="55" t="str">
        <f>IFERROR(IF(COV_TRACK[[#This Row],[Employee Name]]="","",VLOOKUP(COV_TRACK[[#This Row],[Employee Name]],Database!B:F,2,0)),"")</f>
        <v>EMP-00093</v>
      </c>
      <c r="E149" s="72">
        <f>IFERROR(IF(COV_TRACK[[#This Row],[Employee Name]]="","",VLOOKUP(COV_TRACK[[#This Row],[Employee Name]],Database!B:F,3,0)),"")</f>
        <v>38</v>
      </c>
      <c r="F149" s="55" t="str">
        <f>IFERROR(IF(COV_TRACK[[#This Row],[Employee Name]]="","",VLOOKUP(COV_TRACK[[#This Row],[Employee Name]],Database!B:F,4,0)),"")</f>
        <v>M</v>
      </c>
      <c r="G149" s="55" t="str">
        <f>IFERROR(IF(COV_TRACK[[#This Row],[Employee Name]]="","",VLOOKUP(COV_TRACK[[#This Row],[Employee Name]],Database!B:F,5,0)),"")</f>
        <v>Purchasing</v>
      </c>
      <c r="H149" s="56">
        <v>37</v>
      </c>
      <c r="I149" s="57" t="str">
        <f>IFERROR(IF(COV_TRACK[[#This Row],[TEMP  Cº]]="","",IF(COV_TRACK[[#This Row],[TEMP  Cº]]&lt;=Database!$N$5,Database!$L$5,IF(COV_TRACK[[#This Row],[TEMP  Cº]]&lt;=Database!$N$6,Database!$L$6,IF(COV_TRACK[[#This Row],[TEMP  Cº]]&lt;=Database!$N$7,Database!$L$7,Database!$L$8)))),"")</f>
        <v>Normal</v>
      </c>
      <c r="J149" s="25" t="s">
        <v>279</v>
      </c>
      <c r="K149" s="58" t="s">
        <v>281</v>
      </c>
      <c r="L149" s="59" t="s">
        <v>280</v>
      </c>
      <c r="M149" s="60" t="s">
        <v>282</v>
      </c>
    </row>
    <row r="150" spans="1:13" x14ac:dyDescent="0.2">
      <c r="A150" s="5" t="str">
        <f t="shared" si="2"/>
        <v/>
      </c>
      <c r="B150" s="37">
        <v>44116</v>
      </c>
      <c r="C150" s="40" t="s">
        <v>127</v>
      </c>
      <c r="D150" s="55" t="str">
        <f>IFERROR(IF(COV_TRACK[[#This Row],[Employee Name]]="","",VLOOKUP(COV_TRACK[[#This Row],[Employee Name]],Database!B:F,2,0)),"")</f>
        <v>EMP-00060</v>
      </c>
      <c r="E150" s="72">
        <f>IFERROR(IF(COV_TRACK[[#This Row],[Employee Name]]="","",VLOOKUP(COV_TRACK[[#This Row],[Employee Name]],Database!B:F,3,0)),"")</f>
        <v>38</v>
      </c>
      <c r="F150" s="55" t="str">
        <f>IFERROR(IF(COV_TRACK[[#This Row],[Employee Name]]="","",VLOOKUP(COV_TRACK[[#This Row],[Employee Name]],Database!B:F,4,0)),"")</f>
        <v>F</v>
      </c>
      <c r="G150" s="55" t="str">
        <f>IFERROR(IF(COV_TRACK[[#This Row],[Employee Name]]="","",VLOOKUP(COV_TRACK[[#This Row],[Employee Name]],Database!B:F,5,0)),"")</f>
        <v>Warehouse</v>
      </c>
      <c r="H150" s="56">
        <v>37</v>
      </c>
      <c r="I150" s="57" t="str">
        <f>IFERROR(IF(COV_TRACK[[#This Row],[TEMP  Cº]]="","",IF(COV_TRACK[[#This Row],[TEMP  Cº]]&lt;=Database!$N$5,Database!$L$5,IF(COV_TRACK[[#This Row],[TEMP  Cº]]&lt;=Database!$N$6,Database!$L$6,IF(COV_TRACK[[#This Row],[TEMP  Cº]]&lt;=Database!$N$7,Database!$L$7,Database!$L$8)))),"")</f>
        <v>Normal</v>
      </c>
      <c r="J150" s="25" t="s">
        <v>279</v>
      </c>
      <c r="K150" s="58" t="s">
        <v>281</v>
      </c>
      <c r="L150" s="59" t="s">
        <v>280</v>
      </c>
      <c r="M150" s="60" t="s">
        <v>282</v>
      </c>
    </row>
    <row r="151" spans="1:13" x14ac:dyDescent="0.2">
      <c r="A151" s="5" t="str">
        <f t="shared" si="2"/>
        <v/>
      </c>
      <c r="B151" s="37">
        <v>43946</v>
      </c>
      <c r="C151" s="40" t="s">
        <v>123</v>
      </c>
      <c r="D151" s="55" t="str">
        <f>IFERROR(IF(COV_TRACK[[#This Row],[Employee Name]]="","",VLOOKUP(COV_TRACK[[#This Row],[Employee Name]],Database!B:F,2,0)),"")</f>
        <v>EMP-00056</v>
      </c>
      <c r="E151" s="72">
        <f>IFERROR(IF(COV_TRACK[[#This Row],[Employee Name]]="","",VLOOKUP(COV_TRACK[[#This Row],[Employee Name]],Database!B:F,3,0)),"")</f>
        <v>36</v>
      </c>
      <c r="F151" s="55" t="str">
        <f>IFERROR(IF(COV_TRACK[[#This Row],[Employee Name]]="","",VLOOKUP(COV_TRACK[[#This Row],[Employee Name]],Database!B:F,4,0)),"")</f>
        <v>M</v>
      </c>
      <c r="G151" s="55" t="str">
        <f>IFERROR(IF(COV_TRACK[[#This Row],[Employee Name]]="","",VLOOKUP(COV_TRACK[[#This Row],[Employee Name]],Database!B:F,5,0)),"")</f>
        <v>Planning</v>
      </c>
      <c r="H151" s="56">
        <v>38</v>
      </c>
      <c r="I151" s="57" t="str">
        <f>IFERROR(IF(COV_TRACK[[#This Row],[TEMP  Cº]]="","",IF(COV_TRACK[[#This Row],[TEMP  Cº]]&lt;=Database!$N$5,Database!$L$5,IF(COV_TRACK[[#This Row],[TEMP  Cº]]&lt;=Database!$N$6,Database!$L$6,IF(COV_TRACK[[#This Row],[TEMP  Cº]]&lt;=Database!$N$7,Database!$L$7,Database!$L$8)))),"")</f>
        <v>Medium Risk</v>
      </c>
      <c r="J151" s="25" t="s">
        <v>279</v>
      </c>
      <c r="K151" s="58" t="s">
        <v>281</v>
      </c>
      <c r="L151" s="59" t="s">
        <v>280</v>
      </c>
      <c r="M151" s="60" t="s">
        <v>282</v>
      </c>
    </row>
    <row r="152" spans="1:13" x14ac:dyDescent="0.2">
      <c r="A152" s="5" t="str">
        <f t="shared" si="2"/>
        <v/>
      </c>
      <c r="B152" s="37">
        <v>44007</v>
      </c>
      <c r="C152" s="40" t="s">
        <v>162</v>
      </c>
      <c r="D152" s="55" t="str">
        <f>IFERROR(IF(COV_TRACK[[#This Row],[Employee Name]]="","",VLOOKUP(COV_TRACK[[#This Row],[Employee Name]],Database!B:F,2,0)),"")</f>
        <v>EMP-00095</v>
      </c>
      <c r="E152" s="72">
        <f>IFERROR(IF(COV_TRACK[[#This Row],[Employee Name]]="","",VLOOKUP(COV_TRACK[[#This Row],[Employee Name]],Database!B:F,3,0)),"")</f>
        <v>38</v>
      </c>
      <c r="F152" s="55" t="str">
        <f>IFERROR(IF(COV_TRACK[[#This Row],[Employee Name]]="","",VLOOKUP(COV_TRACK[[#This Row],[Employee Name]],Database!B:F,4,0)),"")</f>
        <v>M</v>
      </c>
      <c r="G152" s="55" t="str">
        <f>IFERROR(IF(COV_TRACK[[#This Row],[Employee Name]]="","",VLOOKUP(COV_TRACK[[#This Row],[Employee Name]],Database!B:F,5,0)),"")</f>
        <v>Production</v>
      </c>
      <c r="H152" s="56">
        <v>37</v>
      </c>
      <c r="I152" s="57" t="str">
        <f>IFERROR(IF(COV_TRACK[[#This Row],[TEMP  Cº]]="","",IF(COV_TRACK[[#This Row],[TEMP  Cº]]&lt;=Database!$N$5,Database!$L$5,IF(COV_TRACK[[#This Row],[TEMP  Cº]]&lt;=Database!$N$6,Database!$L$6,IF(COV_TRACK[[#This Row],[TEMP  Cº]]&lt;=Database!$N$7,Database!$L$7,Database!$L$8)))),"")</f>
        <v>Normal</v>
      </c>
      <c r="J152" s="25" t="s">
        <v>279</v>
      </c>
      <c r="K152" s="58" t="s">
        <v>281</v>
      </c>
      <c r="L152" s="59" t="s">
        <v>280</v>
      </c>
      <c r="M152" s="60" t="s">
        <v>282</v>
      </c>
    </row>
    <row r="153" spans="1:13" x14ac:dyDescent="0.2">
      <c r="A153" s="5" t="str">
        <f t="shared" si="2"/>
        <v/>
      </c>
      <c r="B153" s="37">
        <v>44005</v>
      </c>
      <c r="C153" s="40" t="s">
        <v>143</v>
      </c>
      <c r="D153" s="55" t="str">
        <f>IFERROR(IF(COV_TRACK[[#This Row],[Employee Name]]="","",VLOOKUP(COV_TRACK[[#This Row],[Employee Name]],Database!B:F,2,0)),"")</f>
        <v>EMP-00076</v>
      </c>
      <c r="E153" s="72">
        <f>IFERROR(IF(COV_TRACK[[#This Row],[Employee Name]]="","",VLOOKUP(COV_TRACK[[#This Row],[Employee Name]],Database!B:F,3,0)),"")</f>
        <v>33</v>
      </c>
      <c r="F153" s="55" t="str">
        <f>IFERROR(IF(COV_TRACK[[#This Row],[Employee Name]]="","",VLOOKUP(COV_TRACK[[#This Row],[Employee Name]],Database!B:F,4,0)),"")</f>
        <v>F</v>
      </c>
      <c r="G153" s="55" t="str">
        <f>IFERROR(IF(COV_TRACK[[#This Row],[Employee Name]]="","",VLOOKUP(COV_TRACK[[#This Row],[Employee Name]],Database!B:F,5,0)),"")</f>
        <v>Finance</v>
      </c>
      <c r="H153" s="56">
        <v>38</v>
      </c>
      <c r="I153" s="57" t="str">
        <f>IFERROR(IF(COV_TRACK[[#This Row],[TEMP  Cº]]="","",IF(COV_TRACK[[#This Row],[TEMP  Cº]]&lt;=Database!$N$5,Database!$L$5,IF(COV_TRACK[[#This Row],[TEMP  Cº]]&lt;=Database!$N$6,Database!$L$6,IF(COV_TRACK[[#This Row],[TEMP  Cº]]&lt;=Database!$N$7,Database!$L$7,Database!$L$8)))),"")</f>
        <v>Medium Risk</v>
      </c>
      <c r="J153" s="25" t="s">
        <v>279</v>
      </c>
      <c r="K153" s="58" t="s">
        <v>281</v>
      </c>
      <c r="L153" s="59" t="s">
        <v>280</v>
      </c>
      <c r="M153" s="60" t="s">
        <v>282</v>
      </c>
    </row>
    <row r="154" spans="1:13" x14ac:dyDescent="0.2">
      <c r="A154" s="5" t="str">
        <f t="shared" si="2"/>
        <v/>
      </c>
      <c r="B154" s="37">
        <v>44186</v>
      </c>
      <c r="C154" s="40" t="s">
        <v>166</v>
      </c>
      <c r="D154" s="55" t="str">
        <f>IFERROR(IF(COV_TRACK[[#This Row],[Employee Name]]="","",VLOOKUP(COV_TRACK[[#This Row],[Employee Name]],Database!B:F,2,0)),"")</f>
        <v>EMP-00099</v>
      </c>
      <c r="E154" s="72">
        <f>IFERROR(IF(COV_TRACK[[#This Row],[Employee Name]]="","",VLOOKUP(COV_TRACK[[#This Row],[Employee Name]],Database!B:F,3,0)),"")</f>
        <v>25</v>
      </c>
      <c r="F154" s="55" t="str">
        <f>IFERROR(IF(COV_TRACK[[#This Row],[Employee Name]]="","",VLOOKUP(COV_TRACK[[#This Row],[Employee Name]],Database!B:F,4,0)),"")</f>
        <v>F</v>
      </c>
      <c r="G154" s="55" t="str">
        <f>IFERROR(IF(COV_TRACK[[#This Row],[Employee Name]]="","",VLOOKUP(COV_TRACK[[#This Row],[Employee Name]],Database!B:F,5,0)),"")</f>
        <v>Delivery</v>
      </c>
      <c r="H154" s="56">
        <v>37</v>
      </c>
      <c r="I154" s="57" t="str">
        <f>IFERROR(IF(COV_TRACK[[#This Row],[TEMP  Cº]]="","",IF(COV_TRACK[[#This Row],[TEMP  Cº]]&lt;=Database!$N$5,Database!$L$5,IF(COV_TRACK[[#This Row],[TEMP  Cº]]&lt;=Database!$N$6,Database!$L$6,IF(COV_TRACK[[#This Row],[TEMP  Cº]]&lt;=Database!$N$7,Database!$L$7,Database!$L$8)))),"")</f>
        <v>Normal</v>
      </c>
      <c r="J154" s="25" t="s">
        <v>279</v>
      </c>
      <c r="K154" s="58" t="s">
        <v>281</v>
      </c>
      <c r="L154" s="59" t="s">
        <v>280</v>
      </c>
      <c r="M154" s="60" t="s">
        <v>282</v>
      </c>
    </row>
    <row r="155" spans="1:13" x14ac:dyDescent="0.2">
      <c r="A155" s="5" t="str">
        <f t="shared" si="2"/>
        <v/>
      </c>
      <c r="B155" s="37">
        <v>44030</v>
      </c>
      <c r="C155" s="40" t="s">
        <v>111</v>
      </c>
      <c r="D155" s="55" t="str">
        <f>IFERROR(IF(COV_TRACK[[#This Row],[Employee Name]]="","",VLOOKUP(COV_TRACK[[#This Row],[Employee Name]],Database!B:F,2,0)),"")</f>
        <v>EMP-00044</v>
      </c>
      <c r="E155" s="72">
        <f>IFERROR(IF(COV_TRACK[[#This Row],[Employee Name]]="","",VLOOKUP(COV_TRACK[[#This Row],[Employee Name]],Database!B:F,3,0)),"")</f>
        <v>26</v>
      </c>
      <c r="F155" s="55" t="str">
        <f>IFERROR(IF(COV_TRACK[[#This Row],[Employee Name]]="","",VLOOKUP(COV_TRACK[[#This Row],[Employee Name]],Database!B:F,4,0)),"")</f>
        <v>M</v>
      </c>
      <c r="G155" s="55" t="str">
        <f>IFERROR(IF(COV_TRACK[[#This Row],[Employee Name]]="","",VLOOKUP(COV_TRACK[[#This Row],[Employee Name]],Database!B:F,5,0)),"")</f>
        <v>Warehouse</v>
      </c>
      <c r="H155" s="56">
        <v>37</v>
      </c>
      <c r="I155" s="57" t="str">
        <f>IFERROR(IF(COV_TRACK[[#This Row],[TEMP  Cº]]="","",IF(COV_TRACK[[#This Row],[TEMP  Cº]]&lt;=Database!$N$5,Database!$L$5,IF(COV_TRACK[[#This Row],[TEMP  Cº]]&lt;=Database!$N$6,Database!$L$6,IF(COV_TRACK[[#This Row],[TEMP  Cº]]&lt;=Database!$N$7,Database!$L$7,Database!$L$8)))),"")</f>
        <v>Normal</v>
      </c>
      <c r="J155" s="25" t="s">
        <v>279</v>
      </c>
      <c r="K155" s="58" t="s">
        <v>281</v>
      </c>
      <c r="L155" s="59" t="s">
        <v>280</v>
      </c>
      <c r="M155" s="60" t="s">
        <v>282</v>
      </c>
    </row>
    <row r="156" spans="1:13" x14ac:dyDescent="0.2">
      <c r="A156" s="5" t="str">
        <f t="shared" si="2"/>
        <v/>
      </c>
      <c r="B156" s="37">
        <v>43932</v>
      </c>
      <c r="C156" s="40" t="s">
        <v>168</v>
      </c>
      <c r="D156" s="55" t="str">
        <f>IFERROR(IF(COV_TRACK[[#This Row],[Employee Name]]="","",VLOOKUP(COV_TRACK[[#This Row],[Employee Name]],Database!B:F,2,0)),"")</f>
        <v>EMP-00101</v>
      </c>
      <c r="E156" s="72">
        <f>IFERROR(IF(COV_TRACK[[#This Row],[Employee Name]]="","",VLOOKUP(COV_TRACK[[#This Row],[Employee Name]],Database!B:F,3,0)),"")</f>
        <v>36</v>
      </c>
      <c r="F156" s="55" t="str">
        <f>IFERROR(IF(COV_TRACK[[#This Row],[Employee Name]]="","",VLOOKUP(COV_TRACK[[#This Row],[Employee Name]],Database!B:F,4,0)),"")</f>
        <v>M</v>
      </c>
      <c r="G156" s="55" t="str">
        <f>IFERROR(IF(COV_TRACK[[#This Row],[Employee Name]]="","",VLOOKUP(COV_TRACK[[#This Row],[Employee Name]],Database!B:F,5,0)),"")</f>
        <v>Planning</v>
      </c>
      <c r="H156" s="56">
        <v>38</v>
      </c>
      <c r="I156" s="57" t="str">
        <f>IFERROR(IF(COV_TRACK[[#This Row],[TEMP  Cº]]="","",IF(COV_TRACK[[#This Row],[TEMP  Cº]]&lt;=Database!$N$5,Database!$L$5,IF(COV_TRACK[[#This Row],[TEMP  Cº]]&lt;=Database!$N$6,Database!$L$6,IF(COV_TRACK[[#This Row],[TEMP  Cº]]&lt;=Database!$N$7,Database!$L$7,Database!$L$8)))),"")</f>
        <v>Medium Risk</v>
      </c>
      <c r="J156" s="25" t="s">
        <v>279</v>
      </c>
      <c r="K156" s="58" t="s">
        <v>281</v>
      </c>
      <c r="L156" s="59" t="s">
        <v>280</v>
      </c>
      <c r="M156" s="60" t="s">
        <v>282</v>
      </c>
    </row>
    <row r="157" spans="1:13" x14ac:dyDescent="0.2">
      <c r="A157" s="5" t="str">
        <f t="shared" si="2"/>
        <v/>
      </c>
      <c r="B157" s="37">
        <v>44170</v>
      </c>
      <c r="C157" s="40" t="s">
        <v>35</v>
      </c>
      <c r="D157" s="55" t="str">
        <f>IFERROR(IF(COV_TRACK[[#This Row],[Employee Name]]="","",VLOOKUP(COV_TRACK[[#This Row],[Employee Name]],Database!B:F,2,0)),"")</f>
        <v>EMP-00008</v>
      </c>
      <c r="E157" s="72">
        <f>IFERROR(IF(COV_TRACK[[#This Row],[Employee Name]]="","",VLOOKUP(COV_TRACK[[#This Row],[Employee Name]],Database!B:F,3,0)),"")</f>
        <v>30</v>
      </c>
      <c r="F157" s="55" t="str">
        <f>IFERROR(IF(COV_TRACK[[#This Row],[Employee Name]]="","",VLOOKUP(COV_TRACK[[#This Row],[Employee Name]],Database!B:F,4,0)),"")</f>
        <v>M</v>
      </c>
      <c r="G157" s="55" t="str">
        <f>IFERROR(IF(COV_TRACK[[#This Row],[Employee Name]]="","",VLOOKUP(COV_TRACK[[#This Row],[Employee Name]],Database!B:F,5,0)),"")</f>
        <v>Production</v>
      </c>
      <c r="H157" s="56">
        <v>38</v>
      </c>
      <c r="I157" s="57" t="str">
        <f>IFERROR(IF(COV_TRACK[[#This Row],[TEMP  Cº]]="","",IF(COV_TRACK[[#This Row],[TEMP  Cº]]&lt;=Database!$N$5,Database!$L$5,IF(COV_TRACK[[#This Row],[TEMP  Cº]]&lt;=Database!$N$6,Database!$L$6,IF(COV_TRACK[[#This Row],[TEMP  Cº]]&lt;=Database!$N$7,Database!$L$7,Database!$L$8)))),"")</f>
        <v>Medium Risk</v>
      </c>
      <c r="J157" s="25" t="s">
        <v>279</v>
      </c>
      <c r="K157" s="58" t="s">
        <v>281</v>
      </c>
      <c r="L157" s="59" t="s">
        <v>280</v>
      </c>
      <c r="M157" s="60" t="s">
        <v>282</v>
      </c>
    </row>
    <row r="158" spans="1:13" x14ac:dyDescent="0.2">
      <c r="A158" s="5" t="str">
        <f t="shared" si="2"/>
        <v/>
      </c>
      <c r="B158" s="37">
        <v>43996</v>
      </c>
      <c r="C158" s="40" t="s">
        <v>29</v>
      </c>
      <c r="D158" s="55" t="str">
        <f>IFERROR(IF(COV_TRACK[[#This Row],[Employee Name]]="","",VLOOKUP(COV_TRACK[[#This Row],[Employee Name]],Database!B:F,2,0)),"")</f>
        <v>EMP-00002</v>
      </c>
      <c r="E158" s="72">
        <f>IFERROR(IF(COV_TRACK[[#This Row],[Employee Name]]="","",VLOOKUP(COV_TRACK[[#This Row],[Employee Name]],Database!B:F,3,0)),"")</f>
        <v>36</v>
      </c>
      <c r="F158" s="55" t="str">
        <f>IFERROR(IF(COV_TRACK[[#This Row],[Employee Name]]="","",VLOOKUP(COV_TRACK[[#This Row],[Employee Name]],Database!B:F,4,0)),"")</f>
        <v>M</v>
      </c>
      <c r="G158" s="55" t="str">
        <f>IFERROR(IF(COV_TRACK[[#This Row],[Employee Name]]="","",VLOOKUP(COV_TRACK[[#This Row],[Employee Name]],Database!B:F,5,0)),"")</f>
        <v>Planning</v>
      </c>
      <c r="H158" s="56">
        <v>38</v>
      </c>
      <c r="I158" s="57" t="str">
        <f>IFERROR(IF(COV_TRACK[[#This Row],[TEMP  Cº]]="","",IF(COV_TRACK[[#This Row],[TEMP  Cº]]&lt;=Database!$N$5,Database!$L$5,IF(COV_TRACK[[#This Row],[TEMP  Cº]]&lt;=Database!$N$6,Database!$L$6,IF(COV_TRACK[[#This Row],[TEMP  Cº]]&lt;=Database!$N$7,Database!$L$7,Database!$L$8)))),"")</f>
        <v>Medium Risk</v>
      </c>
      <c r="J158" s="25" t="s">
        <v>279</v>
      </c>
      <c r="K158" s="58" t="s">
        <v>281</v>
      </c>
      <c r="L158" s="59" t="s">
        <v>280</v>
      </c>
      <c r="M158" s="60" t="s">
        <v>282</v>
      </c>
    </row>
    <row r="159" spans="1:13" x14ac:dyDescent="0.2">
      <c r="A159" s="5" t="str">
        <f t="shared" si="2"/>
        <v/>
      </c>
      <c r="B159" s="37">
        <v>43838</v>
      </c>
      <c r="C159" s="40" t="s">
        <v>131</v>
      </c>
      <c r="D159" s="55" t="str">
        <f>IFERROR(IF(COV_TRACK[[#This Row],[Employee Name]]="","",VLOOKUP(COV_TRACK[[#This Row],[Employee Name]],Database!B:F,2,0)),"")</f>
        <v>EMP-00064</v>
      </c>
      <c r="E159" s="72">
        <f>IFERROR(IF(COV_TRACK[[#This Row],[Employee Name]]="","",VLOOKUP(COV_TRACK[[#This Row],[Employee Name]],Database!B:F,3,0)),"")</f>
        <v>29</v>
      </c>
      <c r="F159" s="55" t="str">
        <f>IFERROR(IF(COV_TRACK[[#This Row],[Employee Name]]="","",VLOOKUP(COV_TRACK[[#This Row],[Employee Name]],Database!B:F,4,0)),"")</f>
        <v>F</v>
      </c>
      <c r="G159" s="55" t="str">
        <f>IFERROR(IF(COV_TRACK[[#This Row],[Employee Name]]="","",VLOOKUP(COV_TRACK[[#This Row],[Employee Name]],Database!B:F,5,0)),"")</f>
        <v>Warehouse</v>
      </c>
      <c r="H159" s="56">
        <v>37</v>
      </c>
      <c r="I159" s="57" t="str">
        <f>IFERROR(IF(COV_TRACK[[#This Row],[TEMP  Cº]]="","",IF(COV_TRACK[[#This Row],[TEMP  Cº]]&lt;=Database!$N$5,Database!$L$5,IF(COV_TRACK[[#This Row],[TEMP  Cº]]&lt;=Database!$N$6,Database!$L$6,IF(COV_TRACK[[#This Row],[TEMP  Cº]]&lt;=Database!$N$7,Database!$L$7,Database!$L$8)))),"")</f>
        <v>Normal</v>
      </c>
      <c r="J159" s="25" t="s">
        <v>279</v>
      </c>
      <c r="K159" s="58" t="s">
        <v>281</v>
      </c>
      <c r="L159" s="59" t="s">
        <v>280</v>
      </c>
      <c r="M159" s="60" t="s">
        <v>282</v>
      </c>
    </row>
    <row r="160" spans="1:13" x14ac:dyDescent="0.2">
      <c r="A160" s="5" t="str">
        <f t="shared" si="2"/>
        <v/>
      </c>
      <c r="B160" s="37">
        <v>43972</v>
      </c>
      <c r="C160" s="40" t="s">
        <v>162</v>
      </c>
      <c r="D160" s="55" t="str">
        <f>IFERROR(IF(COV_TRACK[[#This Row],[Employee Name]]="","",VLOOKUP(COV_TRACK[[#This Row],[Employee Name]],Database!B:F,2,0)),"")</f>
        <v>EMP-00095</v>
      </c>
      <c r="E160" s="72">
        <f>IFERROR(IF(COV_TRACK[[#This Row],[Employee Name]]="","",VLOOKUP(COV_TRACK[[#This Row],[Employee Name]],Database!B:F,3,0)),"")</f>
        <v>38</v>
      </c>
      <c r="F160" s="55" t="str">
        <f>IFERROR(IF(COV_TRACK[[#This Row],[Employee Name]]="","",VLOOKUP(COV_TRACK[[#This Row],[Employee Name]],Database!B:F,4,0)),"")</f>
        <v>M</v>
      </c>
      <c r="G160" s="55" t="str">
        <f>IFERROR(IF(COV_TRACK[[#This Row],[Employee Name]]="","",VLOOKUP(COV_TRACK[[#This Row],[Employee Name]],Database!B:F,5,0)),"")</f>
        <v>Production</v>
      </c>
      <c r="H160" s="56">
        <v>37</v>
      </c>
      <c r="I160" s="57" t="str">
        <f>IFERROR(IF(COV_TRACK[[#This Row],[TEMP  Cº]]="","",IF(COV_TRACK[[#This Row],[TEMP  Cº]]&lt;=Database!$N$5,Database!$L$5,IF(COV_TRACK[[#This Row],[TEMP  Cº]]&lt;=Database!$N$6,Database!$L$6,IF(COV_TRACK[[#This Row],[TEMP  Cº]]&lt;=Database!$N$7,Database!$L$7,Database!$L$8)))),"")</f>
        <v>Normal</v>
      </c>
      <c r="J160" s="25" t="s">
        <v>280</v>
      </c>
      <c r="K160" s="58" t="s">
        <v>281</v>
      </c>
      <c r="L160" s="59" t="s">
        <v>280</v>
      </c>
      <c r="M160" s="60" t="s">
        <v>282</v>
      </c>
    </row>
    <row r="161" spans="1:13" x14ac:dyDescent="0.2">
      <c r="A161" s="5" t="str">
        <f t="shared" si="2"/>
        <v/>
      </c>
      <c r="B161" s="37">
        <v>43960</v>
      </c>
      <c r="C161" s="40" t="s">
        <v>113</v>
      </c>
      <c r="D161" s="55" t="str">
        <f>IFERROR(IF(COV_TRACK[[#This Row],[Employee Name]]="","",VLOOKUP(COV_TRACK[[#This Row],[Employee Name]],Database!B:F,2,0)),"")</f>
        <v>EMP-00046</v>
      </c>
      <c r="E161" s="72">
        <f>IFERROR(IF(COV_TRACK[[#This Row],[Employee Name]]="","",VLOOKUP(COV_TRACK[[#This Row],[Employee Name]],Database!B:F,3,0)),"")</f>
        <v>38</v>
      </c>
      <c r="F161" s="55" t="str">
        <f>IFERROR(IF(COV_TRACK[[#This Row],[Employee Name]]="","",VLOOKUP(COV_TRACK[[#This Row],[Employee Name]],Database!B:F,4,0)),"")</f>
        <v>M</v>
      </c>
      <c r="G161" s="55" t="str">
        <f>IFERROR(IF(COV_TRACK[[#This Row],[Employee Name]]="","",VLOOKUP(COV_TRACK[[#This Row],[Employee Name]],Database!B:F,5,0)),"")</f>
        <v>QA</v>
      </c>
      <c r="H161" s="56">
        <v>37</v>
      </c>
      <c r="I161" s="57" t="str">
        <f>IFERROR(IF(COV_TRACK[[#This Row],[TEMP  Cº]]="","",IF(COV_TRACK[[#This Row],[TEMP  Cº]]&lt;=Database!$N$5,Database!$L$5,IF(COV_TRACK[[#This Row],[TEMP  Cº]]&lt;=Database!$N$6,Database!$L$6,IF(COV_TRACK[[#This Row],[TEMP  Cº]]&lt;=Database!$N$7,Database!$L$7,Database!$L$8)))),"")</f>
        <v>Normal</v>
      </c>
      <c r="J161" s="25" t="s">
        <v>279</v>
      </c>
      <c r="K161" s="58" t="s">
        <v>281</v>
      </c>
      <c r="L161" s="59" t="s">
        <v>280</v>
      </c>
      <c r="M161" s="60" t="s">
        <v>282</v>
      </c>
    </row>
    <row r="162" spans="1:13" x14ac:dyDescent="0.2">
      <c r="A162" s="5" t="str">
        <f t="shared" si="2"/>
        <v/>
      </c>
      <c r="B162" s="37">
        <v>43861</v>
      </c>
      <c r="C162" s="40" t="s">
        <v>116</v>
      </c>
      <c r="D162" s="55" t="str">
        <f>IFERROR(IF(COV_TRACK[[#This Row],[Employee Name]]="","",VLOOKUP(COV_TRACK[[#This Row],[Employee Name]],Database!B:F,2,0)),"")</f>
        <v>EMP-00049</v>
      </c>
      <c r="E162" s="72">
        <f>IFERROR(IF(COV_TRACK[[#This Row],[Employee Name]]="","",VLOOKUP(COV_TRACK[[#This Row],[Employee Name]],Database!B:F,3,0)),"")</f>
        <v>28</v>
      </c>
      <c r="F162" s="55" t="str">
        <f>IFERROR(IF(COV_TRACK[[#This Row],[Employee Name]]="","",VLOOKUP(COV_TRACK[[#This Row],[Employee Name]],Database!B:F,4,0)),"")</f>
        <v>M</v>
      </c>
      <c r="G162" s="55" t="str">
        <f>IFERROR(IF(COV_TRACK[[#This Row],[Employee Name]]="","",VLOOKUP(COV_TRACK[[#This Row],[Employee Name]],Database!B:F,5,0)),"")</f>
        <v>Production</v>
      </c>
      <c r="H162" s="56">
        <v>37</v>
      </c>
      <c r="I162" s="57" t="str">
        <f>IFERROR(IF(COV_TRACK[[#This Row],[TEMP  Cº]]="","",IF(COV_TRACK[[#This Row],[TEMP  Cº]]&lt;=Database!$N$5,Database!$L$5,IF(COV_TRACK[[#This Row],[TEMP  Cº]]&lt;=Database!$N$6,Database!$L$6,IF(COV_TRACK[[#This Row],[TEMP  Cº]]&lt;=Database!$N$7,Database!$L$7,Database!$L$8)))),"")</f>
        <v>Normal</v>
      </c>
      <c r="J162" s="25" t="s">
        <v>280</v>
      </c>
      <c r="K162" s="58" t="s">
        <v>281</v>
      </c>
      <c r="L162" s="59" t="s">
        <v>280</v>
      </c>
      <c r="M162" s="60" t="s">
        <v>282</v>
      </c>
    </row>
    <row r="163" spans="1:13" x14ac:dyDescent="0.2">
      <c r="A163" s="5" t="str">
        <f t="shared" si="2"/>
        <v/>
      </c>
      <c r="B163" s="37">
        <v>44010</v>
      </c>
      <c r="C163" s="40" t="s">
        <v>172</v>
      </c>
      <c r="D163" s="55" t="str">
        <f>IFERROR(IF(COV_TRACK[[#This Row],[Employee Name]]="","",VLOOKUP(COV_TRACK[[#This Row],[Employee Name]],Database!B:F,2,0)),"")</f>
        <v>EMP-00105</v>
      </c>
      <c r="E163" s="72">
        <f>IFERROR(IF(COV_TRACK[[#This Row],[Employee Name]]="","",VLOOKUP(COV_TRACK[[#This Row],[Employee Name]],Database!B:F,3,0)),"")</f>
        <v>29</v>
      </c>
      <c r="F163" s="55" t="str">
        <f>IFERROR(IF(COV_TRACK[[#This Row],[Employee Name]]="","",VLOOKUP(COV_TRACK[[#This Row],[Employee Name]],Database!B:F,4,0)),"")</f>
        <v>F</v>
      </c>
      <c r="G163" s="55" t="str">
        <f>IFERROR(IF(COV_TRACK[[#This Row],[Employee Name]]="","",VLOOKUP(COV_TRACK[[#This Row],[Employee Name]],Database!B:F,5,0)),"")</f>
        <v>HR</v>
      </c>
      <c r="H163" s="56">
        <v>40</v>
      </c>
      <c r="I163" s="57" t="str">
        <f>IFERROR(IF(COV_TRACK[[#This Row],[TEMP  Cº]]="","",IF(COV_TRACK[[#This Row],[TEMP  Cº]]&lt;=Database!$N$5,Database!$L$5,IF(COV_TRACK[[#This Row],[TEMP  Cº]]&lt;=Database!$N$6,Database!$L$6,IF(COV_TRACK[[#This Row],[TEMP  Cº]]&lt;=Database!$N$7,Database!$L$7,Database!$L$8)))),"")</f>
        <v>Very High Risk</v>
      </c>
      <c r="J163" s="25" t="s">
        <v>279</v>
      </c>
      <c r="K163" s="58" t="s">
        <v>79</v>
      </c>
      <c r="L163" s="59" t="s">
        <v>280</v>
      </c>
      <c r="M163" s="60" t="s">
        <v>284</v>
      </c>
    </row>
    <row r="164" spans="1:13" x14ac:dyDescent="0.2">
      <c r="A164" s="5" t="str">
        <f t="shared" si="2"/>
        <v/>
      </c>
      <c r="B164" s="37">
        <v>44041</v>
      </c>
      <c r="C164" s="40" t="s">
        <v>139</v>
      </c>
      <c r="D164" s="55" t="str">
        <f>IFERROR(IF(COV_TRACK[[#This Row],[Employee Name]]="","",VLOOKUP(COV_TRACK[[#This Row],[Employee Name]],Database!B:F,2,0)),"")</f>
        <v>EMP-00072</v>
      </c>
      <c r="E164" s="72">
        <f>IFERROR(IF(COV_TRACK[[#This Row],[Employee Name]]="","",VLOOKUP(COV_TRACK[[#This Row],[Employee Name]],Database!B:F,3,0)),"")</f>
        <v>32</v>
      </c>
      <c r="F164" s="55" t="str">
        <f>IFERROR(IF(COV_TRACK[[#This Row],[Employee Name]]="","",VLOOKUP(COV_TRACK[[#This Row],[Employee Name]],Database!B:F,4,0)),"")</f>
        <v>F</v>
      </c>
      <c r="G164" s="55" t="str">
        <f>IFERROR(IF(COV_TRACK[[#This Row],[Employee Name]]="","",VLOOKUP(COV_TRACK[[#This Row],[Employee Name]],Database!B:F,5,0)),"")</f>
        <v>Production</v>
      </c>
      <c r="H164" s="56">
        <v>38</v>
      </c>
      <c r="I164" s="57" t="str">
        <f>IFERROR(IF(COV_TRACK[[#This Row],[TEMP  Cº]]="","",IF(COV_TRACK[[#This Row],[TEMP  Cº]]&lt;=Database!$N$5,Database!$L$5,IF(COV_TRACK[[#This Row],[TEMP  Cº]]&lt;=Database!$N$6,Database!$L$6,IF(COV_TRACK[[#This Row],[TEMP  Cº]]&lt;=Database!$N$7,Database!$L$7,Database!$L$8)))),"")</f>
        <v>Medium Risk</v>
      </c>
      <c r="J164" s="25" t="s">
        <v>279</v>
      </c>
      <c r="K164" s="58" t="s">
        <v>281</v>
      </c>
      <c r="L164" s="59" t="s">
        <v>280</v>
      </c>
      <c r="M164" s="60" t="s">
        <v>282</v>
      </c>
    </row>
    <row r="165" spans="1:13" x14ac:dyDescent="0.2">
      <c r="A165" s="5" t="str">
        <f t="shared" si="2"/>
        <v/>
      </c>
      <c r="B165" s="37">
        <v>43904</v>
      </c>
      <c r="C165" s="40" t="s">
        <v>143</v>
      </c>
      <c r="D165" s="55" t="str">
        <f>IFERROR(IF(COV_TRACK[[#This Row],[Employee Name]]="","",VLOOKUP(COV_TRACK[[#This Row],[Employee Name]],Database!B:F,2,0)),"")</f>
        <v>EMP-00076</v>
      </c>
      <c r="E165" s="72">
        <f>IFERROR(IF(COV_TRACK[[#This Row],[Employee Name]]="","",VLOOKUP(COV_TRACK[[#This Row],[Employee Name]],Database!B:F,3,0)),"")</f>
        <v>33</v>
      </c>
      <c r="F165" s="55" t="str">
        <f>IFERROR(IF(COV_TRACK[[#This Row],[Employee Name]]="","",VLOOKUP(COV_TRACK[[#This Row],[Employee Name]],Database!B:F,4,0)),"")</f>
        <v>F</v>
      </c>
      <c r="G165" s="55" t="str">
        <f>IFERROR(IF(COV_TRACK[[#This Row],[Employee Name]]="","",VLOOKUP(COV_TRACK[[#This Row],[Employee Name]],Database!B:F,5,0)),"")</f>
        <v>Finance</v>
      </c>
      <c r="H165" s="56">
        <v>37</v>
      </c>
      <c r="I165" s="57" t="str">
        <f>IFERROR(IF(COV_TRACK[[#This Row],[TEMP  Cº]]="","",IF(COV_TRACK[[#This Row],[TEMP  Cº]]&lt;=Database!$N$5,Database!$L$5,IF(COV_TRACK[[#This Row],[TEMP  Cº]]&lt;=Database!$N$6,Database!$L$6,IF(COV_TRACK[[#This Row],[TEMP  Cº]]&lt;=Database!$N$7,Database!$L$7,Database!$L$8)))),"")</f>
        <v>Normal</v>
      </c>
      <c r="J165" s="25" t="s">
        <v>279</v>
      </c>
      <c r="K165" s="58" t="s">
        <v>281</v>
      </c>
      <c r="L165" s="59" t="s">
        <v>280</v>
      </c>
      <c r="M165" s="60" t="s">
        <v>282</v>
      </c>
    </row>
    <row r="166" spans="1:13" x14ac:dyDescent="0.2">
      <c r="A166" s="5" t="str">
        <f t="shared" si="2"/>
        <v/>
      </c>
      <c r="B166" s="37">
        <v>44089</v>
      </c>
      <c r="C166" s="40" t="s">
        <v>120</v>
      </c>
      <c r="D166" s="55" t="str">
        <f>IFERROR(IF(COV_TRACK[[#This Row],[Employee Name]]="","",VLOOKUP(COV_TRACK[[#This Row],[Employee Name]],Database!B:F,2,0)),"")</f>
        <v>EMP-00053</v>
      </c>
      <c r="E166" s="72">
        <f>IFERROR(IF(COV_TRACK[[#This Row],[Employee Name]]="","",VLOOKUP(COV_TRACK[[#This Row],[Employee Name]],Database!B:F,3,0)),"")</f>
        <v>34</v>
      </c>
      <c r="F166" s="55" t="str">
        <f>IFERROR(IF(COV_TRACK[[#This Row],[Employee Name]]="","",VLOOKUP(COV_TRACK[[#This Row],[Employee Name]],Database!B:F,4,0)),"")</f>
        <v>F</v>
      </c>
      <c r="G166" s="55" t="str">
        <f>IFERROR(IF(COV_TRACK[[#This Row],[Employee Name]]="","",VLOOKUP(COV_TRACK[[#This Row],[Employee Name]],Database!B:F,5,0)),"")</f>
        <v>Planning</v>
      </c>
      <c r="H166" s="56">
        <v>37</v>
      </c>
      <c r="I166" s="57" t="str">
        <f>IFERROR(IF(COV_TRACK[[#This Row],[TEMP  Cº]]="","",IF(COV_TRACK[[#This Row],[TEMP  Cº]]&lt;=Database!$N$5,Database!$L$5,IF(COV_TRACK[[#This Row],[TEMP  Cº]]&lt;=Database!$N$6,Database!$L$6,IF(COV_TRACK[[#This Row],[TEMP  Cº]]&lt;=Database!$N$7,Database!$L$7,Database!$L$8)))),"")</f>
        <v>Normal</v>
      </c>
      <c r="J166" s="25" t="s">
        <v>279</v>
      </c>
      <c r="K166" s="58" t="s">
        <v>281</v>
      </c>
      <c r="L166" s="59" t="s">
        <v>280</v>
      </c>
      <c r="M166" s="60" t="s">
        <v>282</v>
      </c>
    </row>
    <row r="167" spans="1:13" x14ac:dyDescent="0.2">
      <c r="A167" s="5" t="str">
        <f t="shared" si="2"/>
        <v/>
      </c>
      <c r="B167" s="37">
        <v>44084</v>
      </c>
      <c r="C167" s="40" t="s">
        <v>165</v>
      </c>
      <c r="D167" s="55" t="str">
        <f>IFERROR(IF(COV_TRACK[[#This Row],[Employee Name]]="","",VLOOKUP(COV_TRACK[[#This Row],[Employee Name]],Database!B:F,2,0)),"")</f>
        <v>EMP-00098</v>
      </c>
      <c r="E167" s="72">
        <f>IFERROR(IF(COV_TRACK[[#This Row],[Employee Name]]="","",VLOOKUP(COV_TRACK[[#This Row],[Employee Name]],Database!B:F,3,0)),"")</f>
        <v>29</v>
      </c>
      <c r="F167" s="55" t="str">
        <f>IFERROR(IF(COV_TRACK[[#This Row],[Employee Name]]="","",VLOOKUP(COV_TRACK[[#This Row],[Employee Name]],Database!B:F,4,0)),"")</f>
        <v>M</v>
      </c>
      <c r="G167" s="55" t="str">
        <f>IFERROR(IF(COV_TRACK[[#This Row],[Employee Name]]="","",VLOOKUP(COV_TRACK[[#This Row],[Employee Name]],Database!B:F,5,0)),"")</f>
        <v>Finance</v>
      </c>
      <c r="H167" s="56">
        <v>37</v>
      </c>
      <c r="I167" s="57" t="str">
        <f>IFERROR(IF(COV_TRACK[[#This Row],[TEMP  Cº]]="","",IF(COV_TRACK[[#This Row],[TEMP  Cº]]&lt;=Database!$N$5,Database!$L$5,IF(COV_TRACK[[#This Row],[TEMP  Cº]]&lt;=Database!$N$6,Database!$L$6,IF(COV_TRACK[[#This Row],[TEMP  Cº]]&lt;=Database!$N$7,Database!$L$7,Database!$L$8)))),"")</f>
        <v>Normal</v>
      </c>
      <c r="J167" s="25" t="s">
        <v>279</v>
      </c>
      <c r="K167" s="58" t="s">
        <v>281</v>
      </c>
      <c r="L167" s="59" t="s">
        <v>280</v>
      </c>
      <c r="M167" s="60" t="s">
        <v>282</v>
      </c>
    </row>
    <row r="168" spans="1:13" x14ac:dyDescent="0.2">
      <c r="A168" s="5" t="str">
        <f t="shared" si="2"/>
        <v/>
      </c>
      <c r="B168" s="37">
        <v>43875</v>
      </c>
      <c r="C168" s="40" t="s">
        <v>33</v>
      </c>
      <c r="D168" s="55" t="str">
        <f>IFERROR(IF(COV_TRACK[[#This Row],[Employee Name]]="","",VLOOKUP(COV_TRACK[[#This Row],[Employee Name]],Database!B:F,2,0)),"")</f>
        <v>EMP-00006</v>
      </c>
      <c r="E168" s="72">
        <f>IFERROR(IF(COV_TRACK[[#This Row],[Employee Name]]="","",VLOOKUP(COV_TRACK[[#This Row],[Employee Name]],Database!B:F,3,0)),"")</f>
        <v>35</v>
      </c>
      <c r="F168" s="55" t="str">
        <f>IFERROR(IF(COV_TRACK[[#This Row],[Employee Name]]="","",VLOOKUP(COV_TRACK[[#This Row],[Employee Name]],Database!B:F,4,0)),"")</f>
        <v>M</v>
      </c>
      <c r="G168" s="55" t="str">
        <f>IFERROR(IF(COV_TRACK[[#This Row],[Employee Name]]="","",VLOOKUP(COV_TRACK[[#This Row],[Employee Name]],Database!B:F,5,0)),"")</f>
        <v>Purchasing</v>
      </c>
      <c r="H168" s="56">
        <v>37</v>
      </c>
      <c r="I168" s="57" t="str">
        <f>IFERROR(IF(COV_TRACK[[#This Row],[TEMP  Cº]]="","",IF(COV_TRACK[[#This Row],[TEMP  Cº]]&lt;=Database!$N$5,Database!$L$5,IF(COV_TRACK[[#This Row],[TEMP  Cº]]&lt;=Database!$N$6,Database!$L$6,IF(COV_TRACK[[#This Row],[TEMP  Cº]]&lt;=Database!$N$7,Database!$L$7,Database!$L$8)))),"")</f>
        <v>Normal</v>
      </c>
      <c r="J168" s="25" t="s">
        <v>279</v>
      </c>
      <c r="K168" s="58" t="s">
        <v>281</v>
      </c>
      <c r="L168" s="59" t="s">
        <v>280</v>
      </c>
      <c r="M168" s="60" t="s">
        <v>282</v>
      </c>
    </row>
    <row r="169" spans="1:13" x14ac:dyDescent="0.2">
      <c r="A169" s="5" t="str">
        <f t="shared" si="2"/>
        <v/>
      </c>
      <c r="B169" s="37">
        <v>44097</v>
      </c>
      <c r="C169" s="40" t="s">
        <v>155</v>
      </c>
      <c r="D169" s="55" t="str">
        <f>IFERROR(IF(COV_TRACK[[#This Row],[Employee Name]]="","",VLOOKUP(COV_TRACK[[#This Row],[Employee Name]],Database!B:F,2,0)),"")</f>
        <v>EMP-00088</v>
      </c>
      <c r="E169" s="72">
        <f>IFERROR(IF(COV_TRACK[[#This Row],[Employee Name]]="","",VLOOKUP(COV_TRACK[[#This Row],[Employee Name]],Database!B:F,3,0)),"")</f>
        <v>26</v>
      </c>
      <c r="F169" s="55" t="str">
        <f>IFERROR(IF(COV_TRACK[[#This Row],[Employee Name]]="","",VLOOKUP(COV_TRACK[[#This Row],[Employee Name]],Database!B:F,4,0)),"")</f>
        <v>F</v>
      </c>
      <c r="G169" s="55" t="str">
        <f>IFERROR(IF(COV_TRACK[[#This Row],[Employee Name]]="","",VLOOKUP(COV_TRACK[[#This Row],[Employee Name]],Database!B:F,5,0)),"")</f>
        <v>Finance</v>
      </c>
      <c r="H169" s="56">
        <v>37</v>
      </c>
      <c r="I169" s="57" t="str">
        <f>IFERROR(IF(COV_TRACK[[#This Row],[TEMP  Cº]]="","",IF(COV_TRACK[[#This Row],[TEMP  Cº]]&lt;=Database!$N$5,Database!$L$5,IF(COV_TRACK[[#This Row],[TEMP  Cº]]&lt;=Database!$N$6,Database!$L$6,IF(COV_TRACK[[#This Row],[TEMP  Cº]]&lt;=Database!$N$7,Database!$L$7,Database!$L$8)))),"")</f>
        <v>Normal</v>
      </c>
      <c r="J169" s="25" t="s">
        <v>280</v>
      </c>
      <c r="K169" s="58" t="s">
        <v>281</v>
      </c>
      <c r="L169" s="59" t="s">
        <v>280</v>
      </c>
      <c r="M169" s="60" t="s">
        <v>283</v>
      </c>
    </row>
    <row r="170" spans="1:13" x14ac:dyDescent="0.2">
      <c r="A170" s="5" t="str">
        <f t="shared" si="2"/>
        <v/>
      </c>
      <c r="B170" s="37">
        <v>44114</v>
      </c>
      <c r="C170" s="40" t="s">
        <v>151</v>
      </c>
      <c r="D170" s="55" t="str">
        <f>IFERROR(IF(COV_TRACK[[#This Row],[Employee Name]]="","",VLOOKUP(COV_TRACK[[#This Row],[Employee Name]],Database!B:F,2,0)),"")</f>
        <v>EMP-00084</v>
      </c>
      <c r="E170" s="72">
        <f>IFERROR(IF(COV_TRACK[[#This Row],[Employee Name]]="","",VLOOKUP(COV_TRACK[[#This Row],[Employee Name]],Database!B:F,3,0)),"")</f>
        <v>35</v>
      </c>
      <c r="F170" s="55" t="str">
        <f>IFERROR(IF(COV_TRACK[[#This Row],[Employee Name]]="","",VLOOKUP(COV_TRACK[[#This Row],[Employee Name]],Database!B:F,4,0)),"")</f>
        <v>F</v>
      </c>
      <c r="G170" s="55" t="str">
        <f>IFERROR(IF(COV_TRACK[[#This Row],[Employee Name]]="","",VLOOKUP(COV_TRACK[[#This Row],[Employee Name]],Database!B:F,5,0)),"")</f>
        <v>Delivery</v>
      </c>
      <c r="H170" s="56">
        <v>40</v>
      </c>
      <c r="I170" s="57" t="str">
        <f>IFERROR(IF(COV_TRACK[[#This Row],[TEMP  Cº]]="","",IF(COV_TRACK[[#This Row],[TEMP  Cº]]&lt;=Database!$N$5,Database!$L$5,IF(COV_TRACK[[#This Row],[TEMP  Cº]]&lt;=Database!$N$6,Database!$L$6,IF(COV_TRACK[[#This Row],[TEMP  Cº]]&lt;=Database!$N$7,Database!$L$7,Database!$L$8)))),"")</f>
        <v>Very High Risk</v>
      </c>
      <c r="J170" s="25" t="s">
        <v>279</v>
      </c>
      <c r="K170" s="58" t="s">
        <v>281</v>
      </c>
      <c r="L170" s="59" t="s">
        <v>280</v>
      </c>
      <c r="M170" s="60" t="s">
        <v>282</v>
      </c>
    </row>
    <row r="171" spans="1:13" x14ac:dyDescent="0.2">
      <c r="A171" s="5" t="str">
        <f t="shared" si="2"/>
        <v/>
      </c>
      <c r="B171" s="37">
        <v>44182</v>
      </c>
      <c r="C171" s="40" t="s">
        <v>84</v>
      </c>
      <c r="D171" s="55" t="str">
        <f>IFERROR(IF(COV_TRACK[[#This Row],[Employee Name]]="","",VLOOKUP(COV_TRACK[[#This Row],[Employee Name]],Database!B:F,2,0)),"")</f>
        <v>EMP-00017</v>
      </c>
      <c r="E171" s="72">
        <f>IFERROR(IF(COV_TRACK[[#This Row],[Employee Name]]="","",VLOOKUP(COV_TRACK[[#This Row],[Employee Name]],Database!B:F,3,0)),"")</f>
        <v>27</v>
      </c>
      <c r="F171" s="55" t="str">
        <f>IFERROR(IF(COV_TRACK[[#This Row],[Employee Name]]="","",VLOOKUP(COV_TRACK[[#This Row],[Employee Name]],Database!B:F,4,0)),"")</f>
        <v>F</v>
      </c>
      <c r="G171" s="55" t="str">
        <f>IFERROR(IF(COV_TRACK[[#This Row],[Employee Name]]="","",VLOOKUP(COV_TRACK[[#This Row],[Employee Name]],Database!B:F,5,0)),"")</f>
        <v>QA</v>
      </c>
      <c r="H171" s="56">
        <v>38</v>
      </c>
      <c r="I171" s="57" t="str">
        <f>IFERROR(IF(COV_TRACK[[#This Row],[TEMP  Cº]]="","",IF(COV_TRACK[[#This Row],[TEMP  Cº]]&lt;=Database!$N$5,Database!$L$5,IF(COV_TRACK[[#This Row],[TEMP  Cº]]&lt;=Database!$N$6,Database!$L$6,IF(COV_TRACK[[#This Row],[TEMP  Cº]]&lt;=Database!$N$7,Database!$L$7,Database!$L$8)))),"")</f>
        <v>Medium Risk</v>
      </c>
      <c r="J171" s="25" t="s">
        <v>280</v>
      </c>
      <c r="K171" s="58" t="s">
        <v>281</v>
      </c>
      <c r="L171" s="59" t="s">
        <v>280</v>
      </c>
      <c r="M171" s="60" t="s">
        <v>59</v>
      </c>
    </row>
    <row r="172" spans="1:13" x14ac:dyDescent="0.2">
      <c r="A172" s="5" t="str">
        <f t="shared" si="2"/>
        <v/>
      </c>
      <c r="B172" s="37">
        <v>44159</v>
      </c>
      <c r="C172" s="40" t="s">
        <v>126</v>
      </c>
      <c r="D172" s="55" t="str">
        <f>IFERROR(IF(COV_TRACK[[#This Row],[Employee Name]]="","",VLOOKUP(COV_TRACK[[#This Row],[Employee Name]],Database!B:F,2,0)),"")</f>
        <v>EMP-00059</v>
      </c>
      <c r="E172" s="72">
        <f>IFERROR(IF(COV_TRACK[[#This Row],[Employee Name]]="","",VLOOKUP(COV_TRACK[[#This Row],[Employee Name]],Database!B:F,3,0)),"")</f>
        <v>34</v>
      </c>
      <c r="F172" s="55" t="str">
        <f>IFERROR(IF(COV_TRACK[[#This Row],[Employee Name]]="","",VLOOKUP(COV_TRACK[[#This Row],[Employee Name]],Database!B:F,4,0)),"")</f>
        <v>M</v>
      </c>
      <c r="G172" s="55" t="str">
        <f>IFERROR(IF(COV_TRACK[[#This Row],[Employee Name]]="","",VLOOKUP(COV_TRACK[[#This Row],[Employee Name]],Database!B:F,5,0)),"")</f>
        <v>HR</v>
      </c>
      <c r="H172" s="56">
        <v>37</v>
      </c>
      <c r="I172" s="57" t="str">
        <f>IFERROR(IF(COV_TRACK[[#This Row],[TEMP  Cº]]="","",IF(COV_TRACK[[#This Row],[TEMP  Cº]]&lt;=Database!$N$5,Database!$L$5,IF(COV_TRACK[[#This Row],[TEMP  Cº]]&lt;=Database!$N$6,Database!$L$6,IF(COV_TRACK[[#This Row],[TEMP  Cº]]&lt;=Database!$N$7,Database!$L$7,Database!$L$8)))),"")</f>
        <v>Normal</v>
      </c>
      <c r="J172" s="25" t="s">
        <v>279</v>
      </c>
      <c r="K172" s="58" t="s">
        <v>281</v>
      </c>
      <c r="L172" s="59" t="s">
        <v>280</v>
      </c>
      <c r="M172" s="60" t="s">
        <v>282</v>
      </c>
    </row>
    <row r="173" spans="1:13" x14ac:dyDescent="0.2">
      <c r="A173" s="5" t="str">
        <f t="shared" si="2"/>
        <v/>
      </c>
      <c r="B173" s="37">
        <v>44053</v>
      </c>
      <c r="C173" s="40" t="s">
        <v>129</v>
      </c>
      <c r="D173" s="55" t="str">
        <f>IFERROR(IF(COV_TRACK[[#This Row],[Employee Name]]="","",VLOOKUP(COV_TRACK[[#This Row],[Employee Name]],Database!B:F,2,0)),"")</f>
        <v>EMP-00062</v>
      </c>
      <c r="E173" s="72">
        <f>IFERROR(IF(COV_TRACK[[#This Row],[Employee Name]]="","",VLOOKUP(COV_TRACK[[#This Row],[Employee Name]],Database!B:F,3,0)),"")</f>
        <v>29</v>
      </c>
      <c r="F173" s="55" t="str">
        <f>IFERROR(IF(COV_TRACK[[#This Row],[Employee Name]]="","",VLOOKUP(COV_TRACK[[#This Row],[Employee Name]],Database!B:F,4,0)),"")</f>
        <v>M</v>
      </c>
      <c r="G173" s="55" t="str">
        <f>IFERROR(IF(COV_TRACK[[#This Row],[Employee Name]]="","",VLOOKUP(COV_TRACK[[#This Row],[Employee Name]],Database!B:F,5,0)),"")</f>
        <v>Finance</v>
      </c>
      <c r="H173" s="56">
        <v>38</v>
      </c>
      <c r="I173" s="57" t="str">
        <f>IFERROR(IF(COV_TRACK[[#This Row],[TEMP  Cº]]="","",IF(COV_TRACK[[#This Row],[TEMP  Cº]]&lt;=Database!$N$5,Database!$L$5,IF(COV_TRACK[[#This Row],[TEMP  Cº]]&lt;=Database!$N$6,Database!$L$6,IF(COV_TRACK[[#This Row],[TEMP  Cº]]&lt;=Database!$N$7,Database!$L$7,Database!$L$8)))),"")</f>
        <v>Medium Risk</v>
      </c>
      <c r="J173" s="25" t="s">
        <v>279</v>
      </c>
      <c r="K173" s="58" t="s">
        <v>79</v>
      </c>
      <c r="L173" s="59" t="s">
        <v>280</v>
      </c>
      <c r="M173" s="60" t="s">
        <v>282</v>
      </c>
    </row>
    <row r="174" spans="1:13" x14ac:dyDescent="0.2">
      <c r="A174" s="5" t="str">
        <f t="shared" si="2"/>
        <v/>
      </c>
      <c r="B174" s="37">
        <v>43842</v>
      </c>
      <c r="C174" s="40" t="s">
        <v>152</v>
      </c>
      <c r="D174" s="55" t="str">
        <f>IFERROR(IF(COV_TRACK[[#This Row],[Employee Name]]="","",VLOOKUP(COV_TRACK[[#This Row],[Employee Name]],Database!B:F,2,0)),"")</f>
        <v>EMP-00085</v>
      </c>
      <c r="E174" s="72">
        <f>IFERROR(IF(COV_TRACK[[#This Row],[Employee Name]]="","",VLOOKUP(COV_TRACK[[#This Row],[Employee Name]],Database!B:F,3,0)),"")</f>
        <v>37</v>
      </c>
      <c r="F174" s="55" t="str">
        <f>IFERROR(IF(COV_TRACK[[#This Row],[Employee Name]]="","",VLOOKUP(COV_TRACK[[#This Row],[Employee Name]],Database!B:F,4,0)),"")</f>
        <v>F</v>
      </c>
      <c r="G174" s="55" t="str">
        <f>IFERROR(IF(COV_TRACK[[#This Row],[Employee Name]]="","",VLOOKUP(COV_TRACK[[#This Row],[Employee Name]],Database!B:F,5,0)),"")</f>
        <v>Warehouse</v>
      </c>
      <c r="H174" s="56">
        <v>38</v>
      </c>
      <c r="I174" s="57" t="str">
        <f>IFERROR(IF(COV_TRACK[[#This Row],[TEMP  Cº]]="","",IF(COV_TRACK[[#This Row],[TEMP  Cº]]&lt;=Database!$N$5,Database!$L$5,IF(COV_TRACK[[#This Row],[TEMP  Cº]]&lt;=Database!$N$6,Database!$L$6,IF(COV_TRACK[[#This Row],[TEMP  Cº]]&lt;=Database!$N$7,Database!$L$7,Database!$L$8)))),"")</f>
        <v>Medium Risk</v>
      </c>
      <c r="J174" s="25" t="s">
        <v>279</v>
      </c>
      <c r="K174" s="58" t="s">
        <v>281</v>
      </c>
      <c r="L174" s="59" t="s">
        <v>280</v>
      </c>
      <c r="M174" s="60" t="s">
        <v>282</v>
      </c>
    </row>
    <row r="175" spans="1:13" x14ac:dyDescent="0.2">
      <c r="A175" s="5" t="str">
        <f t="shared" si="2"/>
        <v/>
      </c>
      <c r="B175" s="37">
        <v>44057</v>
      </c>
      <c r="C175" s="40" t="s">
        <v>129</v>
      </c>
      <c r="D175" s="55" t="str">
        <f>IFERROR(IF(COV_TRACK[[#This Row],[Employee Name]]="","",VLOOKUP(COV_TRACK[[#This Row],[Employee Name]],Database!B:F,2,0)),"")</f>
        <v>EMP-00062</v>
      </c>
      <c r="E175" s="72">
        <f>IFERROR(IF(COV_TRACK[[#This Row],[Employee Name]]="","",VLOOKUP(COV_TRACK[[#This Row],[Employee Name]],Database!B:F,3,0)),"")</f>
        <v>29</v>
      </c>
      <c r="F175" s="55" t="str">
        <f>IFERROR(IF(COV_TRACK[[#This Row],[Employee Name]]="","",VLOOKUP(COV_TRACK[[#This Row],[Employee Name]],Database!B:F,4,0)),"")</f>
        <v>M</v>
      </c>
      <c r="G175" s="55" t="str">
        <f>IFERROR(IF(COV_TRACK[[#This Row],[Employee Name]]="","",VLOOKUP(COV_TRACK[[#This Row],[Employee Name]],Database!B:F,5,0)),"")</f>
        <v>Finance</v>
      </c>
      <c r="H175" s="56">
        <v>37</v>
      </c>
      <c r="I175" s="57" t="str">
        <f>IFERROR(IF(COV_TRACK[[#This Row],[TEMP  Cº]]="","",IF(COV_TRACK[[#This Row],[TEMP  Cº]]&lt;=Database!$N$5,Database!$L$5,IF(COV_TRACK[[#This Row],[TEMP  Cº]]&lt;=Database!$N$6,Database!$L$6,IF(COV_TRACK[[#This Row],[TEMP  Cº]]&lt;=Database!$N$7,Database!$L$7,Database!$L$8)))),"")</f>
        <v>Normal</v>
      </c>
      <c r="J175" s="25" t="s">
        <v>279</v>
      </c>
      <c r="K175" s="58" t="s">
        <v>281</v>
      </c>
      <c r="L175" s="59" t="s">
        <v>280</v>
      </c>
      <c r="M175" s="60" t="s">
        <v>282</v>
      </c>
    </row>
    <row r="176" spans="1:13" x14ac:dyDescent="0.2">
      <c r="A176" s="5" t="str">
        <f t="shared" si="2"/>
        <v/>
      </c>
      <c r="B176" s="37">
        <v>44033</v>
      </c>
      <c r="C176" s="40" t="s">
        <v>109</v>
      </c>
      <c r="D176" s="55" t="str">
        <f>IFERROR(IF(COV_TRACK[[#This Row],[Employee Name]]="","",VLOOKUP(COV_TRACK[[#This Row],[Employee Name]],Database!B:F,2,0)),"")</f>
        <v>EMP-00042</v>
      </c>
      <c r="E176" s="72">
        <f>IFERROR(IF(COV_TRACK[[#This Row],[Employee Name]]="","",VLOOKUP(COV_TRACK[[#This Row],[Employee Name]],Database!B:F,3,0)),"")</f>
        <v>25</v>
      </c>
      <c r="F176" s="55" t="str">
        <f>IFERROR(IF(COV_TRACK[[#This Row],[Employee Name]]="","",VLOOKUP(COV_TRACK[[#This Row],[Employee Name]],Database!B:F,4,0)),"")</f>
        <v>M</v>
      </c>
      <c r="G176" s="55" t="str">
        <f>IFERROR(IF(COV_TRACK[[#This Row],[Employee Name]]="","",VLOOKUP(COV_TRACK[[#This Row],[Employee Name]],Database!B:F,5,0)),"")</f>
        <v>Purchasing</v>
      </c>
      <c r="H176" s="56">
        <v>38</v>
      </c>
      <c r="I176" s="57" t="str">
        <f>IFERROR(IF(COV_TRACK[[#This Row],[TEMP  Cº]]="","",IF(COV_TRACK[[#This Row],[TEMP  Cº]]&lt;=Database!$N$5,Database!$L$5,IF(COV_TRACK[[#This Row],[TEMP  Cº]]&lt;=Database!$N$6,Database!$L$6,IF(COV_TRACK[[#This Row],[TEMP  Cº]]&lt;=Database!$N$7,Database!$L$7,Database!$L$8)))),"")</f>
        <v>Medium Risk</v>
      </c>
      <c r="J176" s="25" t="s">
        <v>279</v>
      </c>
      <c r="K176" s="58" t="s">
        <v>281</v>
      </c>
      <c r="L176" s="59" t="s">
        <v>280</v>
      </c>
      <c r="M176" s="60" t="s">
        <v>282</v>
      </c>
    </row>
    <row r="177" spans="1:13" x14ac:dyDescent="0.2">
      <c r="A177" s="5" t="str">
        <f t="shared" si="2"/>
        <v/>
      </c>
      <c r="B177" s="37">
        <v>44106</v>
      </c>
      <c r="C177" s="40" t="s">
        <v>170</v>
      </c>
      <c r="D177" s="55" t="str">
        <f>IFERROR(IF(COV_TRACK[[#This Row],[Employee Name]]="","",VLOOKUP(COV_TRACK[[#This Row],[Employee Name]],Database!B:F,2,0)),"")</f>
        <v>EMP-00103</v>
      </c>
      <c r="E177" s="72">
        <f>IFERROR(IF(COV_TRACK[[#This Row],[Employee Name]]="","",VLOOKUP(COV_TRACK[[#This Row],[Employee Name]],Database!B:F,3,0)),"")</f>
        <v>30</v>
      </c>
      <c r="F177" s="55" t="str">
        <f>IFERROR(IF(COV_TRACK[[#This Row],[Employee Name]]="","",VLOOKUP(COV_TRACK[[#This Row],[Employee Name]],Database!B:F,4,0)),"")</f>
        <v>M</v>
      </c>
      <c r="G177" s="55" t="str">
        <f>IFERROR(IF(COV_TRACK[[#This Row],[Employee Name]]="","",VLOOKUP(COV_TRACK[[#This Row],[Employee Name]],Database!B:F,5,0)),"")</f>
        <v>Purchasing</v>
      </c>
      <c r="H177" s="56">
        <v>38</v>
      </c>
      <c r="I177" s="57" t="str">
        <f>IFERROR(IF(COV_TRACK[[#This Row],[TEMP  Cº]]="","",IF(COV_TRACK[[#This Row],[TEMP  Cº]]&lt;=Database!$N$5,Database!$L$5,IF(COV_TRACK[[#This Row],[TEMP  Cº]]&lt;=Database!$N$6,Database!$L$6,IF(COV_TRACK[[#This Row],[TEMP  Cº]]&lt;=Database!$N$7,Database!$L$7,Database!$L$8)))),"")</f>
        <v>Medium Risk</v>
      </c>
      <c r="J177" s="25" t="s">
        <v>279</v>
      </c>
      <c r="K177" s="58" t="s">
        <v>281</v>
      </c>
      <c r="L177" s="59" t="s">
        <v>280</v>
      </c>
      <c r="M177" s="60" t="s">
        <v>282</v>
      </c>
    </row>
    <row r="178" spans="1:13" x14ac:dyDescent="0.2">
      <c r="A178" s="5" t="str">
        <f t="shared" si="2"/>
        <v/>
      </c>
      <c r="B178" s="37">
        <v>43833</v>
      </c>
      <c r="C178" s="40" t="s">
        <v>87</v>
      </c>
      <c r="D178" s="55" t="str">
        <f>IFERROR(IF(COV_TRACK[[#This Row],[Employee Name]]="","",VLOOKUP(COV_TRACK[[#This Row],[Employee Name]],Database!B:F,2,0)),"")</f>
        <v>EMP-00020</v>
      </c>
      <c r="E178" s="72">
        <f>IFERROR(IF(COV_TRACK[[#This Row],[Employee Name]]="","",VLOOKUP(COV_TRACK[[#This Row],[Employee Name]],Database!B:F,3,0)),"")</f>
        <v>37</v>
      </c>
      <c r="F178" s="55" t="str">
        <f>IFERROR(IF(COV_TRACK[[#This Row],[Employee Name]]="","",VLOOKUP(COV_TRACK[[#This Row],[Employee Name]],Database!B:F,4,0)),"")</f>
        <v>M</v>
      </c>
      <c r="G178" s="55" t="str">
        <f>IFERROR(IF(COV_TRACK[[#This Row],[Employee Name]]="","",VLOOKUP(COV_TRACK[[#This Row],[Employee Name]],Database!B:F,5,0)),"")</f>
        <v>Purchasing</v>
      </c>
      <c r="H178" s="56">
        <v>38</v>
      </c>
      <c r="I178" s="57" t="str">
        <f>IFERROR(IF(COV_TRACK[[#This Row],[TEMP  Cº]]="","",IF(COV_TRACK[[#This Row],[TEMP  Cº]]&lt;=Database!$N$5,Database!$L$5,IF(COV_TRACK[[#This Row],[TEMP  Cº]]&lt;=Database!$N$6,Database!$L$6,IF(COV_TRACK[[#This Row],[TEMP  Cº]]&lt;=Database!$N$7,Database!$L$7,Database!$L$8)))),"")</f>
        <v>Medium Risk</v>
      </c>
      <c r="J178" s="25" t="s">
        <v>279</v>
      </c>
      <c r="K178" s="58" t="s">
        <v>281</v>
      </c>
      <c r="L178" s="59" t="s">
        <v>280</v>
      </c>
      <c r="M178" s="60" t="s">
        <v>282</v>
      </c>
    </row>
    <row r="179" spans="1:13" x14ac:dyDescent="0.2">
      <c r="A179" s="5" t="str">
        <f t="shared" si="2"/>
        <v/>
      </c>
      <c r="B179" s="37">
        <v>43938</v>
      </c>
      <c r="C179" s="40" t="s">
        <v>32</v>
      </c>
      <c r="D179" s="55" t="str">
        <f>IFERROR(IF(COV_TRACK[[#This Row],[Employee Name]]="","",VLOOKUP(COV_TRACK[[#This Row],[Employee Name]],Database!B:F,2,0)),"")</f>
        <v>EMP-00005</v>
      </c>
      <c r="E179" s="72">
        <f>IFERROR(IF(COV_TRACK[[#This Row],[Employee Name]]="","",VLOOKUP(COV_TRACK[[#This Row],[Employee Name]],Database!B:F,3,0)),"")</f>
        <v>36</v>
      </c>
      <c r="F179" s="55" t="str">
        <f>IFERROR(IF(COV_TRACK[[#This Row],[Employee Name]]="","",VLOOKUP(COV_TRACK[[#This Row],[Employee Name]],Database!B:F,4,0)),"")</f>
        <v>M</v>
      </c>
      <c r="G179" s="55" t="str">
        <f>IFERROR(IF(COV_TRACK[[#This Row],[Employee Name]]="","",VLOOKUP(COV_TRACK[[#This Row],[Employee Name]],Database!B:F,5,0)),"")</f>
        <v>Finance</v>
      </c>
      <c r="H179" s="56">
        <v>39</v>
      </c>
      <c r="I179" s="57" t="str">
        <f>IFERROR(IF(COV_TRACK[[#This Row],[TEMP  Cº]]="","",IF(COV_TRACK[[#This Row],[TEMP  Cº]]&lt;=Database!$N$5,Database!$L$5,IF(COV_TRACK[[#This Row],[TEMP  Cº]]&lt;=Database!$N$6,Database!$L$6,IF(COV_TRACK[[#This Row],[TEMP  Cº]]&lt;=Database!$N$7,Database!$L$7,Database!$L$8)))),"")</f>
        <v>High Risk</v>
      </c>
      <c r="J179" s="25" t="s">
        <v>280</v>
      </c>
      <c r="K179" s="58" t="s">
        <v>281</v>
      </c>
      <c r="L179" s="59" t="s">
        <v>280</v>
      </c>
      <c r="M179" s="60" t="s">
        <v>61</v>
      </c>
    </row>
    <row r="180" spans="1:13" x14ac:dyDescent="0.2">
      <c r="A180" s="5" t="str">
        <f t="shared" si="2"/>
        <v/>
      </c>
      <c r="B180" s="37">
        <v>43941</v>
      </c>
      <c r="C180" s="40" t="s">
        <v>36</v>
      </c>
      <c r="D180" s="55" t="str">
        <f>IFERROR(IF(COV_TRACK[[#This Row],[Employee Name]]="","",VLOOKUP(COV_TRACK[[#This Row],[Employee Name]],Database!B:F,2,0)),"")</f>
        <v>EMP-00009</v>
      </c>
      <c r="E180" s="72">
        <f>IFERROR(IF(COV_TRACK[[#This Row],[Employee Name]]="","",VLOOKUP(COV_TRACK[[#This Row],[Employee Name]],Database!B:F,3,0)),"")</f>
        <v>36</v>
      </c>
      <c r="F180" s="55" t="str">
        <f>IFERROR(IF(COV_TRACK[[#This Row],[Employee Name]]="","",VLOOKUP(COV_TRACK[[#This Row],[Employee Name]],Database!B:F,4,0)),"")</f>
        <v>M</v>
      </c>
      <c r="G180" s="55" t="str">
        <f>IFERROR(IF(COV_TRACK[[#This Row],[Employee Name]]="","",VLOOKUP(COV_TRACK[[#This Row],[Employee Name]],Database!B:F,5,0)),"")</f>
        <v>Finance</v>
      </c>
      <c r="H180" s="56">
        <v>37</v>
      </c>
      <c r="I180" s="57" t="str">
        <f>IFERROR(IF(COV_TRACK[[#This Row],[TEMP  Cº]]="","",IF(COV_TRACK[[#This Row],[TEMP  Cº]]&lt;=Database!$N$5,Database!$L$5,IF(COV_TRACK[[#This Row],[TEMP  Cº]]&lt;=Database!$N$6,Database!$L$6,IF(COV_TRACK[[#This Row],[TEMP  Cº]]&lt;=Database!$N$7,Database!$L$7,Database!$L$8)))),"")</f>
        <v>Normal</v>
      </c>
      <c r="J180" s="25" t="s">
        <v>279</v>
      </c>
      <c r="K180" s="58" t="s">
        <v>281</v>
      </c>
      <c r="L180" s="59" t="s">
        <v>280</v>
      </c>
      <c r="M180" s="60" t="s">
        <v>282</v>
      </c>
    </row>
    <row r="181" spans="1:13" x14ac:dyDescent="0.2">
      <c r="A181" s="5" t="str">
        <f t="shared" si="2"/>
        <v/>
      </c>
      <c r="B181" s="37">
        <v>44184</v>
      </c>
      <c r="C181" s="40" t="s">
        <v>119</v>
      </c>
      <c r="D181" s="55" t="str">
        <f>IFERROR(IF(COV_TRACK[[#This Row],[Employee Name]]="","",VLOOKUP(COV_TRACK[[#This Row],[Employee Name]],Database!B:F,2,0)),"")</f>
        <v>EMP-00052</v>
      </c>
      <c r="E181" s="72">
        <f>IFERROR(IF(COV_TRACK[[#This Row],[Employee Name]]="","",VLOOKUP(COV_TRACK[[#This Row],[Employee Name]],Database!B:F,3,0)),"")</f>
        <v>26</v>
      </c>
      <c r="F181" s="55" t="str">
        <f>IFERROR(IF(COV_TRACK[[#This Row],[Employee Name]]="","",VLOOKUP(COV_TRACK[[#This Row],[Employee Name]],Database!B:F,4,0)),"")</f>
        <v>F</v>
      </c>
      <c r="G181" s="55" t="str">
        <f>IFERROR(IF(COV_TRACK[[#This Row],[Employee Name]]="","",VLOOKUP(COV_TRACK[[#This Row],[Employee Name]],Database!B:F,5,0)),"")</f>
        <v>Purchasing</v>
      </c>
      <c r="H181" s="56">
        <v>37</v>
      </c>
      <c r="I181" s="57" t="str">
        <f>IFERROR(IF(COV_TRACK[[#This Row],[TEMP  Cº]]="","",IF(COV_TRACK[[#This Row],[TEMP  Cº]]&lt;=Database!$N$5,Database!$L$5,IF(COV_TRACK[[#This Row],[TEMP  Cº]]&lt;=Database!$N$6,Database!$L$6,IF(COV_TRACK[[#This Row],[TEMP  Cº]]&lt;=Database!$N$7,Database!$L$7,Database!$L$8)))),"")</f>
        <v>Normal</v>
      </c>
      <c r="J181" s="25" t="s">
        <v>279</v>
      </c>
      <c r="K181" s="58" t="s">
        <v>281</v>
      </c>
      <c r="L181" s="59" t="s">
        <v>280</v>
      </c>
      <c r="M181" s="60" t="s">
        <v>282</v>
      </c>
    </row>
    <row r="182" spans="1:13" x14ac:dyDescent="0.2">
      <c r="A182" s="5" t="str">
        <f t="shared" si="2"/>
        <v/>
      </c>
      <c r="B182" s="37">
        <v>44008</v>
      </c>
      <c r="C182" s="40" t="s">
        <v>112</v>
      </c>
      <c r="D182" s="55" t="str">
        <f>IFERROR(IF(COV_TRACK[[#This Row],[Employee Name]]="","",VLOOKUP(COV_TRACK[[#This Row],[Employee Name]],Database!B:F,2,0)),"")</f>
        <v>EMP-00045</v>
      </c>
      <c r="E182" s="72">
        <f>IFERROR(IF(COV_TRACK[[#This Row],[Employee Name]]="","",VLOOKUP(COV_TRACK[[#This Row],[Employee Name]],Database!B:F,3,0)),"")</f>
        <v>27</v>
      </c>
      <c r="F182" s="55" t="str">
        <f>IFERROR(IF(COV_TRACK[[#This Row],[Employee Name]]="","",VLOOKUP(COV_TRACK[[#This Row],[Employee Name]],Database!B:F,4,0)),"")</f>
        <v>F</v>
      </c>
      <c r="G182" s="55" t="str">
        <f>IFERROR(IF(COV_TRACK[[#This Row],[Employee Name]]="","",VLOOKUP(COV_TRACK[[#This Row],[Employee Name]],Database!B:F,5,0)),"")</f>
        <v>Warehouse</v>
      </c>
      <c r="H182" s="56">
        <v>37</v>
      </c>
      <c r="I182" s="57" t="str">
        <f>IFERROR(IF(COV_TRACK[[#This Row],[TEMP  Cº]]="","",IF(COV_TRACK[[#This Row],[TEMP  Cº]]&lt;=Database!$N$5,Database!$L$5,IF(COV_TRACK[[#This Row],[TEMP  Cº]]&lt;=Database!$N$6,Database!$L$6,IF(COV_TRACK[[#This Row],[TEMP  Cº]]&lt;=Database!$N$7,Database!$L$7,Database!$L$8)))),"")</f>
        <v>Normal</v>
      </c>
      <c r="J182" s="25" t="s">
        <v>279</v>
      </c>
      <c r="K182" s="58" t="s">
        <v>281</v>
      </c>
      <c r="L182" s="59" t="s">
        <v>280</v>
      </c>
      <c r="M182" s="60" t="s">
        <v>282</v>
      </c>
    </row>
    <row r="183" spans="1:13" x14ac:dyDescent="0.2">
      <c r="A183" s="5" t="str">
        <f t="shared" si="2"/>
        <v/>
      </c>
      <c r="B183" s="37">
        <v>44003</v>
      </c>
      <c r="C183" s="40" t="s">
        <v>110</v>
      </c>
      <c r="D183" s="55" t="str">
        <f>IFERROR(IF(COV_TRACK[[#This Row],[Employee Name]]="","",VLOOKUP(COV_TRACK[[#This Row],[Employee Name]],Database!B:F,2,0)),"")</f>
        <v>EMP-00043</v>
      </c>
      <c r="E183" s="72">
        <f>IFERROR(IF(COV_TRACK[[#This Row],[Employee Name]]="","",VLOOKUP(COV_TRACK[[#This Row],[Employee Name]],Database!B:F,3,0)),"")</f>
        <v>27</v>
      </c>
      <c r="F183" s="55" t="str">
        <f>IFERROR(IF(COV_TRACK[[#This Row],[Employee Name]]="","",VLOOKUP(COV_TRACK[[#This Row],[Employee Name]],Database!B:F,4,0)),"")</f>
        <v>F</v>
      </c>
      <c r="G183" s="55" t="str">
        <f>IFERROR(IF(COV_TRACK[[#This Row],[Employee Name]]="","",VLOOKUP(COV_TRACK[[#This Row],[Employee Name]],Database!B:F,5,0)),"")</f>
        <v>QA</v>
      </c>
      <c r="H183" s="56">
        <v>38</v>
      </c>
      <c r="I183" s="57" t="str">
        <f>IFERROR(IF(COV_TRACK[[#This Row],[TEMP  Cº]]="","",IF(COV_TRACK[[#This Row],[TEMP  Cº]]&lt;=Database!$N$5,Database!$L$5,IF(COV_TRACK[[#This Row],[TEMP  Cº]]&lt;=Database!$N$6,Database!$L$6,IF(COV_TRACK[[#This Row],[TEMP  Cº]]&lt;=Database!$N$7,Database!$L$7,Database!$L$8)))),"")</f>
        <v>Medium Risk</v>
      </c>
      <c r="J183" s="25" t="s">
        <v>279</v>
      </c>
      <c r="K183" s="58" t="s">
        <v>281</v>
      </c>
      <c r="L183" s="59" t="s">
        <v>280</v>
      </c>
      <c r="M183" s="60" t="s">
        <v>282</v>
      </c>
    </row>
    <row r="184" spans="1:13" x14ac:dyDescent="0.2">
      <c r="A184" s="5" t="str">
        <f t="shared" si="2"/>
        <v/>
      </c>
      <c r="B184" s="37">
        <v>44152</v>
      </c>
      <c r="C184" s="40" t="s">
        <v>122</v>
      </c>
      <c r="D184" s="55" t="str">
        <f>IFERROR(IF(COV_TRACK[[#This Row],[Employee Name]]="","",VLOOKUP(COV_TRACK[[#This Row],[Employee Name]],Database!B:F,2,0)),"")</f>
        <v>EMP-00055</v>
      </c>
      <c r="E184" s="72">
        <f>IFERROR(IF(COV_TRACK[[#This Row],[Employee Name]]="","",VLOOKUP(COV_TRACK[[#This Row],[Employee Name]],Database!B:F,3,0)),"")</f>
        <v>36</v>
      </c>
      <c r="F184" s="55" t="str">
        <f>IFERROR(IF(COV_TRACK[[#This Row],[Employee Name]]="","",VLOOKUP(COV_TRACK[[#This Row],[Employee Name]],Database!B:F,4,0)),"")</f>
        <v>F</v>
      </c>
      <c r="G184" s="55" t="str">
        <f>IFERROR(IF(COV_TRACK[[#This Row],[Employee Name]]="","",VLOOKUP(COV_TRACK[[#This Row],[Employee Name]],Database!B:F,5,0)),"")</f>
        <v>HR</v>
      </c>
      <c r="H184" s="56">
        <v>39</v>
      </c>
      <c r="I184" s="57" t="str">
        <f>IFERROR(IF(COV_TRACK[[#This Row],[TEMP  Cº]]="","",IF(COV_TRACK[[#This Row],[TEMP  Cº]]&lt;=Database!$N$5,Database!$L$5,IF(COV_TRACK[[#This Row],[TEMP  Cº]]&lt;=Database!$N$6,Database!$L$6,IF(COV_TRACK[[#This Row],[TEMP  Cº]]&lt;=Database!$N$7,Database!$L$7,Database!$L$8)))),"")</f>
        <v>High Risk</v>
      </c>
      <c r="J184" s="25" t="s">
        <v>280</v>
      </c>
      <c r="K184" s="58" t="s">
        <v>79</v>
      </c>
      <c r="L184" s="59" t="s">
        <v>280</v>
      </c>
      <c r="M184" s="60" t="s">
        <v>282</v>
      </c>
    </row>
    <row r="185" spans="1:13" x14ac:dyDescent="0.2">
      <c r="A185" s="5" t="str">
        <f t="shared" si="2"/>
        <v/>
      </c>
      <c r="B185" s="37">
        <v>43901</v>
      </c>
      <c r="C185" s="40" t="s">
        <v>147</v>
      </c>
      <c r="D185" s="55" t="str">
        <f>IFERROR(IF(COV_TRACK[[#This Row],[Employee Name]]="","",VLOOKUP(COV_TRACK[[#This Row],[Employee Name]],Database!B:F,2,0)),"")</f>
        <v>EMP-00080</v>
      </c>
      <c r="E185" s="72">
        <f>IFERROR(IF(COV_TRACK[[#This Row],[Employee Name]]="","",VLOOKUP(COV_TRACK[[#This Row],[Employee Name]],Database!B:F,3,0)),"")</f>
        <v>32</v>
      </c>
      <c r="F185" s="55" t="str">
        <f>IFERROR(IF(COV_TRACK[[#This Row],[Employee Name]]="","",VLOOKUP(COV_TRACK[[#This Row],[Employee Name]],Database!B:F,4,0)),"")</f>
        <v>F</v>
      </c>
      <c r="G185" s="55" t="str">
        <f>IFERROR(IF(COV_TRACK[[#This Row],[Employee Name]]="","",VLOOKUP(COV_TRACK[[#This Row],[Employee Name]],Database!B:F,5,0)),"")</f>
        <v>Finance</v>
      </c>
      <c r="H185" s="56">
        <v>38</v>
      </c>
      <c r="I185" s="57" t="str">
        <f>IFERROR(IF(COV_TRACK[[#This Row],[TEMP  Cº]]="","",IF(COV_TRACK[[#This Row],[TEMP  Cº]]&lt;=Database!$N$5,Database!$L$5,IF(COV_TRACK[[#This Row],[TEMP  Cº]]&lt;=Database!$N$6,Database!$L$6,IF(COV_TRACK[[#This Row],[TEMP  Cº]]&lt;=Database!$N$7,Database!$L$7,Database!$L$8)))),"")</f>
        <v>Medium Risk</v>
      </c>
      <c r="J185" s="25" t="s">
        <v>280</v>
      </c>
      <c r="K185" s="58" t="s">
        <v>281</v>
      </c>
      <c r="L185" s="59" t="s">
        <v>280</v>
      </c>
      <c r="M185" s="60" t="s">
        <v>282</v>
      </c>
    </row>
    <row r="186" spans="1:13" x14ac:dyDescent="0.2">
      <c r="A186" s="5" t="str">
        <f t="shared" si="2"/>
        <v/>
      </c>
      <c r="B186" s="37">
        <v>44018</v>
      </c>
      <c r="C186" s="40" t="s">
        <v>134</v>
      </c>
      <c r="D186" s="55" t="str">
        <f>IFERROR(IF(COV_TRACK[[#This Row],[Employee Name]]="","",VLOOKUP(COV_TRACK[[#This Row],[Employee Name]],Database!B:F,2,0)),"")</f>
        <v>EMP-00067</v>
      </c>
      <c r="E186" s="72">
        <f>IFERROR(IF(COV_TRACK[[#This Row],[Employee Name]]="","",VLOOKUP(COV_TRACK[[#This Row],[Employee Name]],Database!B:F,3,0)),"")</f>
        <v>25</v>
      </c>
      <c r="F186" s="55" t="str">
        <f>IFERROR(IF(COV_TRACK[[#This Row],[Employee Name]]="","",VLOOKUP(COV_TRACK[[#This Row],[Employee Name]],Database!B:F,4,0)),"")</f>
        <v>F</v>
      </c>
      <c r="G186" s="55" t="str">
        <f>IFERROR(IF(COV_TRACK[[#This Row],[Employee Name]]="","",VLOOKUP(COV_TRACK[[#This Row],[Employee Name]],Database!B:F,5,0)),"")</f>
        <v>Finance</v>
      </c>
      <c r="H186" s="56">
        <v>38</v>
      </c>
      <c r="I186" s="57" t="str">
        <f>IFERROR(IF(COV_TRACK[[#This Row],[TEMP  Cº]]="","",IF(COV_TRACK[[#This Row],[TEMP  Cº]]&lt;=Database!$N$5,Database!$L$5,IF(COV_TRACK[[#This Row],[TEMP  Cº]]&lt;=Database!$N$6,Database!$L$6,IF(COV_TRACK[[#This Row],[TEMP  Cº]]&lt;=Database!$N$7,Database!$L$7,Database!$L$8)))),"")</f>
        <v>Medium Risk</v>
      </c>
      <c r="J186" s="25" t="s">
        <v>279</v>
      </c>
      <c r="K186" s="58" t="s">
        <v>281</v>
      </c>
      <c r="L186" s="59" t="s">
        <v>280</v>
      </c>
      <c r="M186" s="60" t="s">
        <v>282</v>
      </c>
    </row>
    <row r="187" spans="1:13" x14ac:dyDescent="0.2">
      <c r="A187" s="5" t="str">
        <f t="shared" si="2"/>
        <v/>
      </c>
      <c r="B187" s="37">
        <v>43850</v>
      </c>
      <c r="C187" s="40" t="s">
        <v>167</v>
      </c>
      <c r="D187" s="55" t="str">
        <f>IFERROR(IF(COV_TRACK[[#This Row],[Employee Name]]="","",VLOOKUP(COV_TRACK[[#This Row],[Employee Name]],Database!B:F,2,0)),"")</f>
        <v>EMP-00100</v>
      </c>
      <c r="E187" s="72">
        <f>IFERROR(IF(COV_TRACK[[#This Row],[Employee Name]]="","",VLOOKUP(COV_TRACK[[#This Row],[Employee Name]],Database!B:F,3,0)),"")</f>
        <v>29</v>
      </c>
      <c r="F187" s="55" t="str">
        <f>IFERROR(IF(COV_TRACK[[#This Row],[Employee Name]]="","",VLOOKUP(COV_TRACK[[#This Row],[Employee Name]],Database!B:F,4,0)),"")</f>
        <v>M</v>
      </c>
      <c r="G187" s="55" t="str">
        <f>IFERROR(IF(COV_TRACK[[#This Row],[Employee Name]]="","",VLOOKUP(COV_TRACK[[#This Row],[Employee Name]],Database!B:F,5,0)),"")</f>
        <v>HR</v>
      </c>
      <c r="H187" s="56">
        <v>38</v>
      </c>
      <c r="I187" s="57" t="str">
        <f>IFERROR(IF(COV_TRACK[[#This Row],[TEMP  Cº]]="","",IF(COV_TRACK[[#This Row],[TEMP  Cº]]&lt;=Database!$N$5,Database!$L$5,IF(COV_TRACK[[#This Row],[TEMP  Cº]]&lt;=Database!$N$6,Database!$L$6,IF(COV_TRACK[[#This Row],[TEMP  Cº]]&lt;=Database!$N$7,Database!$L$7,Database!$L$8)))),"")</f>
        <v>Medium Risk</v>
      </c>
      <c r="J187" s="25" t="s">
        <v>279</v>
      </c>
      <c r="K187" s="58" t="s">
        <v>281</v>
      </c>
      <c r="L187" s="59" t="s">
        <v>280</v>
      </c>
      <c r="M187" s="60" t="s">
        <v>282</v>
      </c>
    </row>
    <row r="188" spans="1:13" x14ac:dyDescent="0.2">
      <c r="A188" s="5" t="str">
        <f t="shared" si="2"/>
        <v/>
      </c>
      <c r="B188" s="37">
        <v>43858</v>
      </c>
      <c r="C188" s="40" t="s">
        <v>137</v>
      </c>
      <c r="D188" s="55" t="str">
        <f>IFERROR(IF(COV_TRACK[[#This Row],[Employee Name]]="","",VLOOKUP(COV_TRACK[[#This Row],[Employee Name]],Database!B:F,2,0)),"")</f>
        <v>EMP-00070</v>
      </c>
      <c r="E188" s="72">
        <f>IFERROR(IF(COV_TRACK[[#This Row],[Employee Name]]="","",VLOOKUP(COV_TRACK[[#This Row],[Employee Name]],Database!B:F,3,0)),"")</f>
        <v>29</v>
      </c>
      <c r="F188" s="55" t="str">
        <f>IFERROR(IF(COV_TRACK[[#This Row],[Employee Name]]="","",VLOOKUP(COV_TRACK[[#This Row],[Employee Name]],Database!B:F,4,0)),"")</f>
        <v>F</v>
      </c>
      <c r="G188" s="55" t="str">
        <f>IFERROR(IF(COV_TRACK[[#This Row],[Employee Name]]="","",VLOOKUP(COV_TRACK[[#This Row],[Employee Name]],Database!B:F,5,0)),"")</f>
        <v>Warehouse</v>
      </c>
      <c r="H188" s="56">
        <v>37</v>
      </c>
      <c r="I188" s="57" t="str">
        <f>IFERROR(IF(COV_TRACK[[#This Row],[TEMP  Cº]]="","",IF(COV_TRACK[[#This Row],[TEMP  Cº]]&lt;=Database!$N$5,Database!$L$5,IF(COV_TRACK[[#This Row],[TEMP  Cº]]&lt;=Database!$N$6,Database!$L$6,IF(COV_TRACK[[#This Row],[TEMP  Cº]]&lt;=Database!$N$7,Database!$L$7,Database!$L$8)))),"")</f>
        <v>Normal</v>
      </c>
      <c r="J188" s="25" t="s">
        <v>279</v>
      </c>
      <c r="K188" s="58" t="s">
        <v>281</v>
      </c>
      <c r="L188" s="59" t="s">
        <v>280</v>
      </c>
      <c r="M188" s="60" t="s">
        <v>282</v>
      </c>
    </row>
    <row r="189" spans="1:13" x14ac:dyDescent="0.2">
      <c r="A189" s="5" t="str">
        <f t="shared" si="2"/>
        <v/>
      </c>
      <c r="B189" s="37">
        <v>44106</v>
      </c>
      <c r="C189" s="40" t="s">
        <v>173</v>
      </c>
      <c r="D189" s="55" t="str">
        <f>IFERROR(IF(COV_TRACK[[#This Row],[Employee Name]]="","",VLOOKUP(COV_TRACK[[#This Row],[Employee Name]],Database!B:F,2,0)),"")</f>
        <v>EMP-00106</v>
      </c>
      <c r="E189" s="72">
        <f>IFERROR(IF(COV_TRACK[[#This Row],[Employee Name]]="","",VLOOKUP(COV_TRACK[[#This Row],[Employee Name]],Database!B:F,3,0)),"")</f>
        <v>38</v>
      </c>
      <c r="F189" s="55" t="str">
        <f>IFERROR(IF(COV_TRACK[[#This Row],[Employee Name]]="","",VLOOKUP(COV_TRACK[[#This Row],[Employee Name]],Database!B:F,4,0)),"")</f>
        <v>M</v>
      </c>
      <c r="G189" s="55" t="str">
        <f>IFERROR(IF(COV_TRACK[[#This Row],[Employee Name]]="","",VLOOKUP(COV_TRACK[[#This Row],[Employee Name]],Database!B:F,5,0)),"")</f>
        <v>HR</v>
      </c>
      <c r="H189" s="56">
        <v>37</v>
      </c>
      <c r="I189" s="57" t="str">
        <f>IFERROR(IF(COV_TRACK[[#This Row],[TEMP  Cº]]="","",IF(COV_TRACK[[#This Row],[TEMP  Cº]]&lt;=Database!$N$5,Database!$L$5,IF(COV_TRACK[[#This Row],[TEMP  Cº]]&lt;=Database!$N$6,Database!$L$6,IF(COV_TRACK[[#This Row],[TEMP  Cº]]&lt;=Database!$N$7,Database!$L$7,Database!$L$8)))),"")</f>
        <v>Normal</v>
      </c>
      <c r="J189" s="25" t="s">
        <v>279</v>
      </c>
      <c r="K189" s="58" t="s">
        <v>281</v>
      </c>
      <c r="L189" s="59" t="s">
        <v>280</v>
      </c>
      <c r="M189" s="60" t="s">
        <v>282</v>
      </c>
    </row>
    <row r="190" spans="1:13" x14ac:dyDescent="0.2">
      <c r="A190" s="5" t="str">
        <f t="shared" si="2"/>
        <v/>
      </c>
      <c r="B190" s="37">
        <v>44169</v>
      </c>
      <c r="C190" s="40" t="s">
        <v>128</v>
      </c>
      <c r="D190" s="55" t="str">
        <f>IFERROR(IF(COV_TRACK[[#This Row],[Employee Name]]="","",VLOOKUP(COV_TRACK[[#This Row],[Employee Name]],Database!B:F,2,0)),"")</f>
        <v>EMP-00061</v>
      </c>
      <c r="E190" s="72">
        <f>IFERROR(IF(COV_TRACK[[#This Row],[Employee Name]]="","",VLOOKUP(COV_TRACK[[#This Row],[Employee Name]],Database!B:F,3,0)),"")</f>
        <v>27</v>
      </c>
      <c r="F190" s="55" t="str">
        <f>IFERROR(IF(COV_TRACK[[#This Row],[Employee Name]]="","",VLOOKUP(COV_TRACK[[#This Row],[Employee Name]],Database!B:F,4,0)),"")</f>
        <v>M</v>
      </c>
      <c r="G190" s="55" t="str">
        <f>IFERROR(IF(COV_TRACK[[#This Row],[Employee Name]]="","",VLOOKUP(COV_TRACK[[#This Row],[Employee Name]],Database!B:F,5,0)),"")</f>
        <v>Warehouse</v>
      </c>
      <c r="H190" s="56">
        <v>38</v>
      </c>
      <c r="I190" s="57" t="str">
        <f>IFERROR(IF(COV_TRACK[[#This Row],[TEMP  Cº]]="","",IF(COV_TRACK[[#This Row],[TEMP  Cº]]&lt;=Database!$N$5,Database!$L$5,IF(COV_TRACK[[#This Row],[TEMP  Cº]]&lt;=Database!$N$6,Database!$L$6,IF(COV_TRACK[[#This Row],[TEMP  Cº]]&lt;=Database!$N$7,Database!$L$7,Database!$L$8)))),"")</f>
        <v>Medium Risk</v>
      </c>
      <c r="J190" s="25" t="s">
        <v>279</v>
      </c>
      <c r="K190" s="58" t="s">
        <v>281</v>
      </c>
      <c r="L190" s="59" t="s">
        <v>280</v>
      </c>
      <c r="M190" s="60" t="s">
        <v>282</v>
      </c>
    </row>
    <row r="191" spans="1:13" x14ac:dyDescent="0.2">
      <c r="A191" s="5" t="str">
        <f t="shared" si="2"/>
        <v/>
      </c>
      <c r="B191" s="37">
        <v>43916</v>
      </c>
      <c r="C191" s="40" t="s">
        <v>105</v>
      </c>
      <c r="D191" s="55" t="str">
        <f>IFERROR(IF(COV_TRACK[[#This Row],[Employee Name]]="","",VLOOKUP(COV_TRACK[[#This Row],[Employee Name]],Database!B:F,2,0)),"")</f>
        <v>EMP-00038</v>
      </c>
      <c r="E191" s="72">
        <f>IFERROR(IF(COV_TRACK[[#This Row],[Employee Name]]="","",VLOOKUP(COV_TRACK[[#This Row],[Employee Name]],Database!B:F,3,0)),"")</f>
        <v>32</v>
      </c>
      <c r="F191" s="55" t="str">
        <f>IFERROR(IF(COV_TRACK[[#This Row],[Employee Name]]="","",VLOOKUP(COV_TRACK[[#This Row],[Employee Name]],Database!B:F,4,0)),"")</f>
        <v>M</v>
      </c>
      <c r="G191" s="55" t="str">
        <f>IFERROR(IF(COV_TRACK[[#This Row],[Employee Name]]="","",VLOOKUP(COV_TRACK[[#This Row],[Employee Name]],Database!B:F,5,0)),"")</f>
        <v>Planning</v>
      </c>
      <c r="H191" s="56">
        <v>37</v>
      </c>
      <c r="I191" s="57" t="str">
        <f>IFERROR(IF(COV_TRACK[[#This Row],[TEMP  Cº]]="","",IF(COV_TRACK[[#This Row],[TEMP  Cº]]&lt;=Database!$N$5,Database!$L$5,IF(COV_TRACK[[#This Row],[TEMP  Cº]]&lt;=Database!$N$6,Database!$L$6,IF(COV_TRACK[[#This Row],[TEMP  Cº]]&lt;=Database!$N$7,Database!$L$7,Database!$L$8)))),"")</f>
        <v>Normal</v>
      </c>
      <c r="J191" s="25" t="s">
        <v>279</v>
      </c>
      <c r="K191" s="58" t="s">
        <v>281</v>
      </c>
      <c r="L191" s="59" t="s">
        <v>280</v>
      </c>
      <c r="M191" s="60" t="s">
        <v>282</v>
      </c>
    </row>
    <row r="192" spans="1:13" x14ac:dyDescent="0.2">
      <c r="A192" s="5" t="str">
        <f t="shared" si="2"/>
        <v/>
      </c>
      <c r="B192" s="37">
        <v>44122</v>
      </c>
      <c r="C192" s="40" t="s">
        <v>138</v>
      </c>
      <c r="D192" s="55" t="str">
        <f>IFERROR(IF(COV_TRACK[[#This Row],[Employee Name]]="","",VLOOKUP(COV_TRACK[[#This Row],[Employee Name]],Database!B:F,2,0)),"")</f>
        <v>EMP-00071</v>
      </c>
      <c r="E192" s="72">
        <f>IFERROR(IF(COV_TRACK[[#This Row],[Employee Name]]="","",VLOOKUP(COV_TRACK[[#This Row],[Employee Name]],Database!B:F,3,0)),"")</f>
        <v>30</v>
      </c>
      <c r="F192" s="55" t="str">
        <f>IFERROR(IF(COV_TRACK[[#This Row],[Employee Name]]="","",VLOOKUP(COV_TRACK[[#This Row],[Employee Name]],Database!B:F,4,0)),"")</f>
        <v>F</v>
      </c>
      <c r="G192" s="55" t="str">
        <f>IFERROR(IF(COV_TRACK[[#This Row],[Employee Name]]="","",VLOOKUP(COV_TRACK[[#This Row],[Employee Name]],Database!B:F,5,0)),"")</f>
        <v>Purchasing</v>
      </c>
      <c r="H192" s="56">
        <v>37</v>
      </c>
      <c r="I192" s="57" t="str">
        <f>IFERROR(IF(COV_TRACK[[#This Row],[TEMP  Cº]]="","",IF(COV_TRACK[[#This Row],[TEMP  Cº]]&lt;=Database!$N$5,Database!$L$5,IF(COV_TRACK[[#This Row],[TEMP  Cº]]&lt;=Database!$N$6,Database!$L$6,IF(COV_TRACK[[#This Row],[TEMP  Cº]]&lt;=Database!$N$7,Database!$L$7,Database!$L$8)))),"")</f>
        <v>Normal</v>
      </c>
      <c r="J192" s="25" t="s">
        <v>279</v>
      </c>
      <c r="K192" s="58" t="s">
        <v>281</v>
      </c>
      <c r="L192" s="59" t="s">
        <v>280</v>
      </c>
      <c r="M192" s="60" t="s">
        <v>282</v>
      </c>
    </row>
    <row r="193" spans="1:13" x14ac:dyDescent="0.2">
      <c r="A193" s="5" t="str">
        <f t="shared" si="2"/>
        <v/>
      </c>
      <c r="B193" s="37">
        <v>43951</v>
      </c>
      <c r="C193" s="40" t="s">
        <v>102</v>
      </c>
      <c r="D193" s="55" t="str">
        <f>IFERROR(IF(COV_TRACK[[#This Row],[Employee Name]]="","",VLOOKUP(COV_TRACK[[#This Row],[Employee Name]],Database!B:F,2,0)),"")</f>
        <v>EMP-00035</v>
      </c>
      <c r="E193" s="72">
        <f>IFERROR(IF(COV_TRACK[[#This Row],[Employee Name]]="","",VLOOKUP(COV_TRACK[[#This Row],[Employee Name]],Database!B:F,3,0)),"")</f>
        <v>33</v>
      </c>
      <c r="F193" s="55" t="str">
        <f>IFERROR(IF(COV_TRACK[[#This Row],[Employee Name]]="","",VLOOKUP(COV_TRACK[[#This Row],[Employee Name]],Database!B:F,4,0)),"")</f>
        <v>F</v>
      </c>
      <c r="G193" s="55" t="str">
        <f>IFERROR(IF(COV_TRACK[[#This Row],[Employee Name]]="","",VLOOKUP(COV_TRACK[[#This Row],[Employee Name]],Database!B:F,5,0)),"")</f>
        <v>Planning</v>
      </c>
      <c r="H193" s="56">
        <v>37</v>
      </c>
      <c r="I193" s="57" t="str">
        <f>IFERROR(IF(COV_TRACK[[#This Row],[TEMP  Cº]]="","",IF(COV_TRACK[[#This Row],[TEMP  Cº]]&lt;=Database!$N$5,Database!$L$5,IF(COV_TRACK[[#This Row],[TEMP  Cº]]&lt;=Database!$N$6,Database!$L$6,IF(COV_TRACK[[#This Row],[TEMP  Cº]]&lt;=Database!$N$7,Database!$L$7,Database!$L$8)))),"")</f>
        <v>Normal</v>
      </c>
      <c r="J193" s="25" t="s">
        <v>279</v>
      </c>
      <c r="K193" s="58" t="s">
        <v>281</v>
      </c>
      <c r="L193" s="59" t="s">
        <v>280</v>
      </c>
      <c r="M193" s="60" t="s">
        <v>282</v>
      </c>
    </row>
    <row r="194" spans="1:13" x14ac:dyDescent="0.2">
      <c r="A194" s="5" t="str">
        <f t="shared" si="2"/>
        <v/>
      </c>
      <c r="B194" s="37">
        <v>44002</v>
      </c>
      <c r="C194" s="40" t="s">
        <v>144</v>
      </c>
      <c r="D194" s="55" t="str">
        <f>IFERROR(IF(COV_TRACK[[#This Row],[Employee Name]]="","",VLOOKUP(COV_TRACK[[#This Row],[Employee Name]],Database!B:F,2,0)),"")</f>
        <v>EMP-00077</v>
      </c>
      <c r="E194" s="72">
        <f>IFERROR(IF(COV_TRACK[[#This Row],[Employee Name]]="","",VLOOKUP(COV_TRACK[[#This Row],[Employee Name]],Database!B:F,3,0)),"")</f>
        <v>38</v>
      </c>
      <c r="F194" s="55" t="str">
        <f>IFERROR(IF(COV_TRACK[[#This Row],[Employee Name]]="","",VLOOKUP(COV_TRACK[[#This Row],[Employee Name]],Database!B:F,4,0)),"")</f>
        <v>F</v>
      </c>
      <c r="G194" s="55" t="str">
        <f>IFERROR(IF(COV_TRACK[[#This Row],[Employee Name]]="","",VLOOKUP(COV_TRACK[[#This Row],[Employee Name]],Database!B:F,5,0)),"")</f>
        <v>Finance</v>
      </c>
      <c r="H194" s="56">
        <v>40</v>
      </c>
      <c r="I194" s="57" t="str">
        <f>IFERROR(IF(COV_TRACK[[#This Row],[TEMP  Cº]]="","",IF(COV_TRACK[[#This Row],[TEMP  Cº]]&lt;=Database!$N$5,Database!$L$5,IF(COV_TRACK[[#This Row],[TEMP  Cº]]&lt;=Database!$N$6,Database!$L$6,IF(COV_TRACK[[#This Row],[TEMP  Cº]]&lt;=Database!$N$7,Database!$L$7,Database!$L$8)))),"")</f>
        <v>Very High Risk</v>
      </c>
      <c r="J194" s="25" t="s">
        <v>279</v>
      </c>
      <c r="K194" s="58" t="s">
        <v>281</v>
      </c>
      <c r="L194" s="59" t="s">
        <v>280</v>
      </c>
      <c r="M194" s="60" t="s">
        <v>60</v>
      </c>
    </row>
    <row r="195" spans="1:13" x14ac:dyDescent="0.2">
      <c r="A195" s="5" t="str">
        <f t="shared" si="2"/>
        <v/>
      </c>
      <c r="B195" s="37">
        <v>43910</v>
      </c>
      <c r="C195" s="40" t="s">
        <v>102</v>
      </c>
      <c r="D195" s="55" t="str">
        <f>IFERROR(IF(COV_TRACK[[#This Row],[Employee Name]]="","",VLOOKUP(COV_TRACK[[#This Row],[Employee Name]],Database!B:F,2,0)),"")</f>
        <v>EMP-00035</v>
      </c>
      <c r="E195" s="72">
        <f>IFERROR(IF(COV_TRACK[[#This Row],[Employee Name]]="","",VLOOKUP(COV_TRACK[[#This Row],[Employee Name]],Database!B:F,3,0)),"")</f>
        <v>33</v>
      </c>
      <c r="F195" s="55" t="str">
        <f>IFERROR(IF(COV_TRACK[[#This Row],[Employee Name]]="","",VLOOKUP(COV_TRACK[[#This Row],[Employee Name]],Database!B:F,4,0)),"")</f>
        <v>F</v>
      </c>
      <c r="G195" s="55" t="str">
        <f>IFERROR(IF(COV_TRACK[[#This Row],[Employee Name]]="","",VLOOKUP(COV_TRACK[[#This Row],[Employee Name]],Database!B:F,5,0)),"")</f>
        <v>Planning</v>
      </c>
      <c r="H195" s="56">
        <v>38</v>
      </c>
      <c r="I195" s="57" t="str">
        <f>IFERROR(IF(COV_TRACK[[#This Row],[TEMP  Cº]]="","",IF(COV_TRACK[[#This Row],[TEMP  Cº]]&lt;=Database!$N$5,Database!$L$5,IF(COV_TRACK[[#This Row],[TEMP  Cº]]&lt;=Database!$N$6,Database!$L$6,IF(COV_TRACK[[#This Row],[TEMP  Cº]]&lt;=Database!$N$7,Database!$L$7,Database!$L$8)))),"")</f>
        <v>Medium Risk</v>
      </c>
      <c r="J195" s="25" t="s">
        <v>279</v>
      </c>
      <c r="K195" s="58" t="s">
        <v>281</v>
      </c>
      <c r="L195" s="59" t="s">
        <v>280</v>
      </c>
      <c r="M195" s="60" t="s">
        <v>282</v>
      </c>
    </row>
    <row r="196" spans="1:13" x14ac:dyDescent="0.2">
      <c r="A196" s="5" t="str">
        <f t="shared" ref="A196:A259" si="3">IF(AND(B195&lt;&gt;"",B196=""),$A$2&amp;"---&gt;","")</f>
        <v/>
      </c>
      <c r="B196" s="37">
        <v>44104</v>
      </c>
      <c r="C196" s="40" t="s">
        <v>110</v>
      </c>
      <c r="D196" s="55" t="str">
        <f>IFERROR(IF(COV_TRACK[[#This Row],[Employee Name]]="","",VLOOKUP(COV_TRACK[[#This Row],[Employee Name]],Database!B:F,2,0)),"")</f>
        <v>EMP-00043</v>
      </c>
      <c r="E196" s="72">
        <f>IFERROR(IF(COV_TRACK[[#This Row],[Employee Name]]="","",VLOOKUP(COV_TRACK[[#This Row],[Employee Name]],Database!B:F,3,0)),"")</f>
        <v>27</v>
      </c>
      <c r="F196" s="55" t="str">
        <f>IFERROR(IF(COV_TRACK[[#This Row],[Employee Name]]="","",VLOOKUP(COV_TRACK[[#This Row],[Employee Name]],Database!B:F,4,0)),"")</f>
        <v>F</v>
      </c>
      <c r="G196" s="55" t="str">
        <f>IFERROR(IF(COV_TRACK[[#This Row],[Employee Name]]="","",VLOOKUP(COV_TRACK[[#This Row],[Employee Name]],Database!B:F,5,0)),"")</f>
        <v>QA</v>
      </c>
      <c r="H196" s="56">
        <v>38</v>
      </c>
      <c r="I196" s="57" t="str">
        <f>IFERROR(IF(COV_TRACK[[#This Row],[TEMP  Cº]]="","",IF(COV_TRACK[[#This Row],[TEMP  Cº]]&lt;=Database!$N$5,Database!$L$5,IF(COV_TRACK[[#This Row],[TEMP  Cº]]&lt;=Database!$N$6,Database!$L$6,IF(COV_TRACK[[#This Row],[TEMP  Cº]]&lt;=Database!$N$7,Database!$L$7,Database!$L$8)))),"")</f>
        <v>Medium Risk</v>
      </c>
      <c r="J196" s="25" t="s">
        <v>280</v>
      </c>
      <c r="K196" s="58" t="s">
        <v>281</v>
      </c>
      <c r="L196" s="59" t="s">
        <v>280</v>
      </c>
      <c r="M196" s="60" t="s">
        <v>283</v>
      </c>
    </row>
    <row r="197" spans="1:13" x14ac:dyDescent="0.2">
      <c r="A197" s="5" t="str">
        <f t="shared" si="3"/>
        <v/>
      </c>
      <c r="B197" s="37">
        <v>43883</v>
      </c>
      <c r="C197" s="40" t="s">
        <v>109</v>
      </c>
      <c r="D197" s="55" t="str">
        <f>IFERROR(IF(COV_TRACK[[#This Row],[Employee Name]]="","",VLOOKUP(COV_TRACK[[#This Row],[Employee Name]],Database!B:F,2,0)),"")</f>
        <v>EMP-00042</v>
      </c>
      <c r="E197" s="72">
        <f>IFERROR(IF(COV_TRACK[[#This Row],[Employee Name]]="","",VLOOKUP(COV_TRACK[[#This Row],[Employee Name]],Database!B:F,3,0)),"")</f>
        <v>25</v>
      </c>
      <c r="F197" s="55" t="str">
        <f>IFERROR(IF(COV_TRACK[[#This Row],[Employee Name]]="","",VLOOKUP(COV_TRACK[[#This Row],[Employee Name]],Database!B:F,4,0)),"")</f>
        <v>M</v>
      </c>
      <c r="G197" s="55" t="str">
        <f>IFERROR(IF(COV_TRACK[[#This Row],[Employee Name]]="","",VLOOKUP(COV_TRACK[[#This Row],[Employee Name]],Database!B:F,5,0)),"")</f>
        <v>Purchasing</v>
      </c>
      <c r="H197" s="56">
        <v>37</v>
      </c>
      <c r="I197" s="57" t="str">
        <f>IFERROR(IF(COV_TRACK[[#This Row],[TEMP  Cº]]="","",IF(COV_TRACK[[#This Row],[TEMP  Cº]]&lt;=Database!$N$5,Database!$L$5,IF(COV_TRACK[[#This Row],[TEMP  Cº]]&lt;=Database!$N$6,Database!$L$6,IF(COV_TRACK[[#This Row],[TEMP  Cº]]&lt;=Database!$N$7,Database!$L$7,Database!$L$8)))),"")</f>
        <v>Normal</v>
      </c>
      <c r="J197" s="25" t="s">
        <v>279</v>
      </c>
      <c r="K197" s="58" t="s">
        <v>281</v>
      </c>
      <c r="L197" s="59" t="s">
        <v>280</v>
      </c>
      <c r="M197" s="60" t="s">
        <v>282</v>
      </c>
    </row>
    <row r="198" spans="1:13" x14ac:dyDescent="0.2">
      <c r="A198" s="5" t="str">
        <f t="shared" si="3"/>
        <v/>
      </c>
      <c r="B198" s="37">
        <v>44149</v>
      </c>
      <c r="C198" s="40" t="s">
        <v>121</v>
      </c>
      <c r="D198" s="55" t="str">
        <f>IFERROR(IF(COV_TRACK[[#This Row],[Employee Name]]="","",VLOOKUP(COV_TRACK[[#This Row],[Employee Name]],Database!B:F,2,0)),"")</f>
        <v>EMP-00054</v>
      </c>
      <c r="E198" s="72">
        <f>IFERROR(IF(COV_TRACK[[#This Row],[Employee Name]]="","",VLOOKUP(COV_TRACK[[#This Row],[Employee Name]],Database!B:F,3,0)),"")</f>
        <v>35</v>
      </c>
      <c r="F198" s="55" t="str">
        <f>IFERROR(IF(COV_TRACK[[#This Row],[Employee Name]]="","",VLOOKUP(COV_TRACK[[#This Row],[Employee Name]],Database!B:F,4,0)),"")</f>
        <v>M</v>
      </c>
      <c r="G198" s="55" t="str">
        <f>IFERROR(IF(COV_TRACK[[#This Row],[Employee Name]]="","",VLOOKUP(COV_TRACK[[#This Row],[Employee Name]],Database!B:F,5,0)),"")</f>
        <v>Production</v>
      </c>
      <c r="H198" s="56">
        <v>38</v>
      </c>
      <c r="I198" s="57" t="str">
        <f>IFERROR(IF(COV_TRACK[[#This Row],[TEMP  Cº]]="","",IF(COV_TRACK[[#This Row],[TEMP  Cº]]&lt;=Database!$N$5,Database!$L$5,IF(COV_TRACK[[#This Row],[TEMP  Cº]]&lt;=Database!$N$6,Database!$L$6,IF(COV_TRACK[[#This Row],[TEMP  Cº]]&lt;=Database!$N$7,Database!$L$7,Database!$L$8)))),"")</f>
        <v>Medium Risk</v>
      </c>
      <c r="J198" s="25" t="s">
        <v>279</v>
      </c>
      <c r="K198" s="58" t="s">
        <v>281</v>
      </c>
      <c r="L198" s="59" t="s">
        <v>280</v>
      </c>
      <c r="M198" s="60" t="s">
        <v>282</v>
      </c>
    </row>
    <row r="199" spans="1:13" x14ac:dyDescent="0.2">
      <c r="A199" s="5" t="str">
        <f t="shared" si="3"/>
        <v/>
      </c>
      <c r="B199" s="37">
        <v>43910</v>
      </c>
      <c r="C199" s="40" t="s">
        <v>35</v>
      </c>
      <c r="D199" s="55" t="str">
        <f>IFERROR(IF(COV_TRACK[[#This Row],[Employee Name]]="","",VLOOKUP(COV_TRACK[[#This Row],[Employee Name]],Database!B:F,2,0)),"")</f>
        <v>EMP-00008</v>
      </c>
      <c r="E199" s="72">
        <f>IFERROR(IF(COV_TRACK[[#This Row],[Employee Name]]="","",VLOOKUP(COV_TRACK[[#This Row],[Employee Name]],Database!B:F,3,0)),"")</f>
        <v>30</v>
      </c>
      <c r="F199" s="55" t="str">
        <f>IFERROR(IF(COV_TRACK[[#This Row],[Employee Name]]="","",VLOOKUP(COV_TRACK[[#This Row],[Employee Name]],Database!B:F,4,0)),"")</f>
        <v>M</v>
      </c>
      <c r="G199" s="55" t="str">
        <f>IFERROR(IF(COV_TRACK[[#This Row],[Employee Name]]="","",VLOOKUP(COV_TRACK[[#This Row],[Employee Name]],Database!B:F,5,0)),"")</f>
        <v>Production</v>
      </c>
      <c r="H199" s="56">
        <v>38</v>
      </c>
      <c r="I199" s="57" t="str">
        <f>IFERROR(IF(COV_TRACK[[#This Row],[TEMP  Cº]]="","",IF(COV_TRACK[[#This Row],[TEMP  Cº]]&lt;=Database!$N$5,Database!$L$5,IF(COV_TRACK[[#This Row],[TEMP  Cº]]&lt;=Database!$N$6,Database!$L$6,IF(COV_TRACK[[#This Row],[TEMP  Cº]]&lt;=Database!$N$7,Database!$L$7,Database!$L$8)))),"")</f>
        <v>Medium Risk</v>
      </c>
      <c r="J199" s="25" t="s">
        <v>279</v>
      </c>
      <c r="K199" s="58" t="s">
        <v>281</v>
      </c>
      <c r="L199" s="59" t="s">
        <v>280</v>
      </c>
      <c r="M199" s="60" t="s">
        <v>282</v>
      </c>
    </row>
    <row r="200" spans="1:13" x14ac:dyDescent="0.2">
      <c r="A200" s="5" t="str">
        <f t="shared" si="3"/>
        <v>New Record---&gt;</v>
      </c>
    </row>
    <row r="201" spans="1:13" x14ac:dyDescent="0.2">
      <c r="A201" s="5" t="str">
        <f t="shared" si="3"/>
        <v/>
      </c>
    </row>
    <row r="202" spans="1:13" x14ac:dyDescent="0.2">
      <c r="A202" s="5" t="str">
        <f t="shared" si="3"/>
        <v/>
      </c>
    </row>
    <row r="203" spans="1:13" x14ac:dyDescent="0.2">
      <c r="A203" s="5" t="str">
        <f t="shared" si="3"/>
        <v/>
      </c>
    </row>
    <row r="204" spans="1:13" x14ac:dyDescent="0.2">
      <c r="A204" s="5" t="str">
        <f t="shared" si="3"/>
        <v/>
      </c>
    </row>
    <row r="205" spans="1:13" x14ac:dyDescent="0.2">
      <c r="A205" s="5" t="str">
        <f t="shared" si="3"/>
        <v/>
      </c>
    </row>
    <row r="206" spans="1:13" x14ac:dyDescent="0.2">
      <c r="A206" s="5" t="str">
        <f t="shared" si="3"/>
        <v/>
      </c>
    </row>
    <row r="207" spans="1:13" x14ac:dyDescent="0.2">
      <c r="A207" s="5" t="str">
        <f t="shared" si="3"/>
        <v/>
      </c>
    </row>
    <row r="208" spans="1:13" x14ac:dyDescent="0.2">
      <c r="A208" s="5" t="str">
        <f t="shared" si="3"/>
        <v/>
      </c>
    </row>
    <row r="209" spans="1:1" x14ac:dyDescent="0.2">
      <c r="A209" s="5" t="str">
        <f t="shared" si="3"/>
        <v/>
      </c>
    </row>
    <row r="210" spans="1:1" x14ac:dyDescent="0.2">
      <c r="A210" s="5" t="str">
        <f t="shared" si="3"/>
        <v/>
      </c>
    </row>
    <row r="211" spans="1:1" x14ac:dyDescent="0.2">
      <c r="A211" s="5" t="str">
        <f t="shared" si="3"/>
        <v/>
      </c>
    </row>
    <row r="212" spans="1:1" x14ac:dyDescent="0.2">
      <c r="A212" s="5" t="str">
        <f t="shared" si="3"/>
        <v/>
      </c>
    </row>
    <row r="213" spans="1:1" x14ac:dyDescent="0.2">
      <c r="A213" s="5" t="str">
        <f t="shared" si="3"/>
        <v/>
      </c>
    </row>
    <row r="214" spans="1:1" x14ac:dyDescent="0.2">
      <c r="A214" s="5" t="str">
        <f t="shared" si="3"/>
        <v/>
      </c>
    </row>
    <row r="215" spans="1:1" x14ac:dyDescent="0.2">
      <c r="A215" s="5" t="str">
        <f t="shared" si="3"/>
        <v/>
      </c>
    </row>
    <row r="216" spans="1:1" x14ac:dyDescent="0.2">
      <c r="A216" s="5" t="str">
        <f t="shared" si="3"/>
        <v/>
      </c>
    </row>
    <row r="217" spans="1:1" x14ac:dyDescent="0.2">
      <c r="A217" s="5" t="str">
        <f t="shared" si="3"/>
        <v/>
      </c>
    </row>
    <row r="218" spans="1:1" x14ac:dyDescent="0.2">
      <c r="A218" s="5" t="str">
        <f t="shared" si="3"/>
        <v/>
      </c>
    </row>
    <row r="219" spans="1:1" x14ac:dyDescent="0.2">
      <c r="A219" s="5" t="str">
        <f t="shared" si="3"/>
        <v/>
      </c>
    </row>
    <row r="220" spans="1:1" x14ac:dyDescent="0.2">
      <c r="A220" s="5" t="str">
        <f t="shared" si="3"/>
        <v/>
      </c>
    </row>
    <row r="221" spans="1:1" x14ac:dyDescent="0.2">
      <c r="A221" s="5" t="str">
        <f t="shared" si="3"/>
        <v/>
      </c>
    </row>
    <row r="222" spans="1:1" x14ac:dyDescent="0.2">
      <c r="A222" s="5" t="str">
        <f t="shared" si="3"/>
        <v/>
      </c>
    </row>
    <row r="223" spans="1:1" x14ac:dyDescent="0.2">
      <c r="A223" s="5" t="str">
        <f t="shared" si="3"/>
        <v/>
      </c>
    </row>
    <row r="224" spans="1:1" x14ac:dyDescent="0.2">
      <c r="A224" s="5" t="str">
        <f t="shared" si="3"/>
        <v/>
      </c>
    </row>
    <row r="225" spans="1:1" x14ac:dyDescent="0.2">
      <c r="A225" s="5" t="str">
        <f t="shared" si="3"/>
        <v/>
      </c>
    </row>
    <row r="226" spans="1:1" x14ac:dyDescent="0.2">
      <c r="A226" s="5" t="str">
        <f t="shared" si="3"/>
        <v/>
      </c>
    </row>
    <row r="227" spans="1:1" x14ac:dyDescent="0.2">
      <c r="A227" s="5" t="str">
        <f t="shared" si="3"/>
        <v/>
      </c>
    </row>
    <row r="228" spans="1:1" x14ac:dyDescent="0.2">
      <c r="A228" s="5" t="str">
        <f t="shared" si="3"/>
        <v/>
      </c>
    </row>
    <row r="229" spans="1:1" x14ac:dyDescent="0.2">
      <c r="A229" s="5" t="str">
        <f t="shared" si="3"/>
        <v/>
      </c>
    </row>
    <row r="230" spans="1:1" x14ac:dyDescent="0.2">
      <c r="A230" s="5" t="str">
        <f t="shared" si="3"/>
        <v/>
      </c>
    </row>
    <row r="231" spans="1:1" x14ac:dyDescent="0.2">
      <c r="A231" s="5" t="str">
        <f t="shared" si="3"/>
        <v/>
      </c>
    </row>
    <row r="232" spans="1:1" x14ac:dyDescent="0.2">
      <c r="A232" s="5" t="str">
        <f t="shared" si="3"/>
        <v/>
      </c>
    </row>
    <row r="233" spans="1:1" x14ac:dyDescent="0.2">
      <c r="A233" s="5" t="str">
        <f t="shared" si="3"/>
        <v/>
      </c>
    </row>
    <row r="234" spans="1:1" x14ac:dyDescent="0.2">
      <c r="A234" s="5" t="str">
        <f t="shared" si="3"/>
        <v/>
      </c>
    </row>
    <row r="235" spans="1:1" x14ac:dyDescent="0.2">
      <c r="A235" s="5" t="str">
        <f t="shared" si="3"/>
        <v/>
      </c>
    </row>
    <row r="236" spans="1:1" x14ac:dyDescent="0.2">
      <c r="A236" s="5" t="str">
        <f t="shared" si="3"/>
        <v/>
      </c>
    </row>
    <row r="237" spans="1:1" x14ac:dyDescent="0.2">
      <c r="A237" s="5" t="str">
        <f t="shared" si="3"/>
        <v/>
      </c>
    </row>
    <row r="238" spans="1:1" x14ac:dyDescent="0.2">
      <c r="A238" s="5" t="str">
        <f t="shared" si="3"/>
        <v/>
      </c>
    </row>
    <row r="239" spans="1:1" x14ac:dyDescent="0.2">
      <c r="A239" s="5" t="str">
        <f t="shared" si="3"/>
        <v/>
      </c>
    </row>
    <row r="240" spans="1:1" x14ac:dyDescent="0.2">
      <c r="A240" s="5" t="str">
        <f t="shared" si="3"/>
        <v/>
      </c>
    </row>
    <row r="241" spans="1:1" x14ac:dyDescent="0.2">
      <c r="A241" s="5" t="str">
        <f t="shared" si="3"/>
        <v/>
      </c>
    </row>
    <row r="242" spans="1:1" x14ac:dyDescent="0.2">
      <c r="A242" s="5" t="str">
        <f t="shared" si="3"/>
        <v/>
      </c>
    </row>
    <row r="243" spans="1:1" x14ac:dyDescent="0.2">
      <c r="A243" s="5" t="str">
        <f t="shared" si="3"/>
        <v/>
      </c>
    </row>
    <row r="244" spans="1:1" x14ac:dyDescent="0.2">
      <c r="A244" s="5" t="str">
        <f t="shared" si="3"/>
        <v/>
      </c>
    </row>
    <row r="245" spans="1:1" x14ac:dyDescent="0.2">
      <c r="A245" s="5" t="str">
        <f t="shared" si="3"/>
        <v/>
      </c>
    </row>
    <row r="246" spans="1:1" x14ac:dyDescent="0.2">
      <c r="A246" s="5" t="str">
        <f t="shared" si="3"/>
        <v/>
      </c>
    </row>
    <row r="247" spans="1:1" x14ac:dyDescent="0.2">
      <c r="A247" s="5" t="str">
        <f t="shared" si="3"/>
        <v/>
      </c>
    </row>
    <row r="248" spans="1:1" x14ac:dyDescent="0.2">
      <c r="A248" s="5" t="str">
        <f t="shared" si="3"/>
        <v/>
      </c>
    </row>
    <row r="249" spans="1:1" x14ac:dyDescent="0.2">
      <c r="A249" s="5" t="str">
        <f t="shared" si="3"/>
        <v/>
      </c>
    </row>
    <row r="250" spans="1:1" x14ac:dyDescent="0.2">
      <c r="A250" s="5" t="str">
        <f t="shared" si="3"/>
        <v/>
      </c>
    </row>
    <row r="251" spans="1:1" x14ac:dyDescent="0.2">
      <c r="A251" s="5" t="str">
        <f t="shared" si="3"/>
        <v/>
      </c>
    </row>
    <row r="252" spans="1:1" x14ac:dyDescent="0.2">
      <c r="A252" s="5" t="str">
        <f t="shared" si="3"/>
        <v/>
      </c>
    </row>
    <row r="253" spans="1:1" x14ac:dyDescent="0.2">
      <c r="A253" s="5" t="str">
        <f t="shared" si="3"/>
        <v/>
      </c>
    </row>
    <row r="254" spans="1:1" x14ac:dyDescent="0.2">
      <c r="A254" s="5" t="str">
        <f t="shared" si="3"/>
        <v/>
      </c>
    </row>
    <row r="255" spans="1:1" x14ac:dyDescent="0.2">
      <c r="A255" s="5" t="str">
        <f t="shared" si="3"/>
        <v/>
      </c>
    </row>
    <row r="256" spans="1:1" x14ac:dyDescent="0.2">
      <c r="A256" s="5" t="str">
        <f t="shared" si="3"/>
        <v/>
      </c>
    </row>
    <row r="257" spans="1:1" x14ac:dyDescent="0.2">
      <c r="A257" s="5" t="str">
        <f t="shared" si="3"/>
        <v/>
      </c>
    </row>
    <row r="258" spans="1:1" x14ac:dyDescent="0.2">
      <c r="A258" s="5" t="str">
        <f t="shared" si="3"/>
        <v/>
      </c>
    </row>
    <row r="259" spans="1:1" x14ac:dyDescent="0.2">
      <c r="A259" s="5" t="str">
        <f t="shared" si="3"/>
        <v/>
      </c>
    </row>
    <row r="260" spans="1:1" x14ac:dyDescent="0.2">
      <c r="A260" s="5" t="str">
        <f t="shared" ref="A260:A323" si="4">IF(AND(B259&lt;&gt;"",B260=""),$A$2&amp;"---&gt;","")</f>
        <v/>
      </c>
    </row>
    <row r="261" spans="1:1" x14ac:dyDescent="0.2">
      <c r="A261" s="5" t="str">
        <f t="shared" si="4"/>
        <v/>
      </c>
    </row>
    <row r="262" spans="1:1" x14ac:dyDescent="0.2">
      <c r="A262" s="5" t="str">
        <f t="shared" si="4"/>
        <v/>
      </c>
    </row>
    <row r="263" spans="1:1" x14ac:dyDescent="0.2">
      <c r="A263" s="5" t="str">
        <f t="shared" si="4"/>
        <v/>
      </c>
    </row>
    <row r="264" spans="1:1" x14ac:dyDescent="0.2">
      <c r="A264" s="5" t="str">
        <f t="shared" si="4"/>
        <v/>
      </c>
    </row>
    <row r="265" spans="1:1" x14ac:dyDescent="0.2">
      <c r="A265" s="5" t="str">
        <f t="shared" si="4"/>
        <v/>
      </c>
    </row>
    <row r="266" spans="1:1" x14ac:dyDescent="0.2">
      <c r="A266" s="5" t="str">
        <f t="shared" si="4"/>
        <v/>
      </c>
    </row>
    <row r="267" spans="1:1" x14ac:dyDescent="0.2">
      <c r="A267" s="5" t="str">
        <f t="shared" si="4"/>
        <v/>
      </c>
    </row>
    <row r="268" spans="1:1" x14ac:dyDescent="0.2">
      <c r="A268" s="5" t="str">
        <f t="shared" si="4"/>
        <v/>
      </c>
    </row>
    <row r="269" spans="1:1" x14ac:dyDescent="0.2">
      <c r="A269" s="5" t="str">
        <f t="shared" si="4"/>
        <v/>
      </c>
    </row>
    <row r="270" spans="1:1" x14ac:dyDescent="0.2">
      <c r="A270" s="5" t="str">
        <f t="shared" si="4"/>
        <v/>
      </c>
    </row>
    <row r="271" spans="1:1" x14ac:dyDescent="0.2">
      <c r="A271" s="5" t="str">
        <f t="shared" si="4"/>
        <v/>
      </c>
    </row>
    <row r="272" spans="1:1" x14ac:dyDescent="0.2">
      <c r="A272" s="5" t="str">
        <f t="shared" si="4"/>
        <v/>
      </c>
    </row>
    <row r="273" spans="1:1" x14ac:dyDescent="0.2">
      <c r="A273" s="5" t="str">
        <f t="shared" si="4"/>
        <v/>
      </c>
    </row>
    <row r="274" spans="1:1" x14ac:dyDescent="0.2">
      <c r="A274" s="5" t="str">
        <f t="shared" si="4"/>
        <v/>
      </c>
    </row>
    <row r="275" spans="1:1" x14ac:dyDescent="0.2">
      <c r="A275" s="5" t="str">
        <f t="shared" si="4"/>
        <v/>
      </c>
    </row>
    <row r="276" spans="1:1" x14ac:dyDescent="0.2">
      <c r="A276" s="5" t="str">
        <f t="shared" si="4"/>
        <v/>
      </c>
    </row>
    <row r="277" spans="1:1" x14ac:dyDescent="0.2">
      <c r="A277" s="5" t="str">
        <f t="shared" si="4"/>
        <v/>
      </c>
    </row>
    <row r="278" spans="1:1" x14ac:dyDescent="0.2">
      <c r="A278" s="5" t="str">
        <f t="shared" si="4"/>
        <v/>
      </c>
    </row>
    <row r="279" spans="1:1" x14ac:dyDescent="0.2">
      <c r="A279" s="5" t="str">
        <f t="shared" si="4"/>
        <v/>
      </c>
    </row>
    <row r="280" spans="1:1" x14ac:dyDescent="0.2">
      <c r="A280" s="5" t="str">
        <f t="shared" si="4"/>
        <v/>
      </c>
    </row>
    <row r="281" spans="1:1" x14ac:dyDescent="0.2">
      <c r="A281" s="5" t="str">
        <f t="shared" si="4"/>
        <v/>
      </c>
    </row>
    <row r="282" spans="1:1" x14ac:dyDescent="0.2">
      <c r="A282" s="5" t="str">
        <f t="shared" si="4"/>
        <v/>
      </c>
    </row>
    <row r="283" spans="1:1" x14ac:dyDescent="0.2">
      <c r="A283" s="5" t="str">
        <f t="shared" si="4"/>
        <v/>
      </c>
    </row>
    <row r="284" spans="1:1" x14ac:dyDescent="0.2">
      <c r="A284" s="5" t="str">
        <f t="shared" si="4"/>
        <v/>
      </c>
    </row>
    <row r="285" spans="1:1" x14ac:dyDescent="0.2">
      <c r="A285" s="5" t="str">
        <f t="shared" si="4"/>
        <v/>
      </c>
    </row>
    <row r="286" spans="1:1" x14ac:dyDescent="0.2">
      <c r="A286" s="5" t="str">
        <f t="shared" si="4"/>
        <v/>
      </c>
    </row>
    <row r="287" spans="1:1" x14ac:dyDescent="0.2">
      <c r="A287" s="5" t="str">
        <f t="shared" si="4"/>
        <v/>
      </c>
    </row>
    <row r="288" spans="1:1" x14ac:dyDescent="0.2">
      <c r="A288" s="5" t="str">
        <f t="shared" si="4"/>
        <v/>
      </c>
    </row>
    <row r="289" spans="1:1" x14ac:dyDescent="0.2">
      <c r="A289" s="5" t="str">
        <f t="shared" si="4"/>
        <v/>
      </c>
    </row>
    <row r="290" spans="1:1" x14ac:dyDescent="0.2">
      <c r="A290" s="5" t="str">
        <f t="shared" si="4"/>
        <v/>
      </c>
    </row>
    <row r="291" spans="1:1" x14ac:dyDescent="0.2">
      <c r="A291" s="5" t="str">
        <f t="shared" si="4"/>
        <v/>
      </c>
    </row>
    <row r="292" spans="1:1" x14ac:dyDescent="0.2">
      <c r="A292" s="5" t="str">
        <f t="shared" si="4"/>
        <v/>
      </c>
    </row>
    <row r="293" spans="1:1" x14ac:dyDescent="0.2">
      <c r="A293" s="5" t="str">
        <f t="shared" si="4"/>
        <v/>
      </c>
    </row>
    <row r="294" spans="1:1" x14ac:dyDescent="0.2">
      <c r="A294" s="5" t="str">
        <f t="shared" si="4"/>
        <v/>
      </c>
    </row>
    <row r="295" spans="1:1" x14ac:dyDescent="0.2">
      <c r="A295" s="5" t="str">
        <f t="shared" si="4"/>
        <v/>
      </c>
    </row>
    <row r="296" spans="1:1" x14ac:dyDescent="0.2">
      <c r="A296" s="5" t="str">
        <f t="shared" si="4"/>
        <v/>
      </c>
    </row>
    <row r="297" spans="1:1" x14ac:dyDescent="0.2">
      <c r="A297" s="5" t="str">
        <f t="shared" si="4"/>
        <v/>
      </c>
    </row>
    <row r="298" spans="1:1" x14ac:dyDescent="0.2">
      <c r="A298" s="5" t="str">
        <f t="shared" si="4"/>
        <v/>
      </c>
    </row>
    <row r="299" spans="1:1" x14ac:dyDescent="0.2">
      <c r="A299" s="5" t="str">
        <f t="shared" si="4"/>
        <v/>
      </c>
    </row>
    <row r="300" spans="1:1" x14ac:dyDescent="0.2">
      <c r="A300" s="5" t="str">
        <f t="shared" si="4"/>
        <v/>
      </c>
    </row>
    <row r="301" spans="1:1" x14ac:dyDescent="0.2">
      <c r="A301" s="5" t="str">
        <f t="shared" si="4"/>
        <v/>
      </c>
    </row>
    <row r="302" spans="1:1" x14ac:dyDescent="0.2">
      <c r="A302" s="5" t="str">
        <f t="shared" si="4"/>
        <v/>
      </c>
    </row>
    <row r="303" spans="1:1" x14ac:dyDescent="0.2">
      <c r="A303" s="5" t="str">
        <f t="shared" si="4"/>
        <v/>
      </c>
    </row>
    <row r="304" spans="1:1" x14ac:dyDescent="0.2">
      <c r="A304" s="5" t="str">
        <f t="shared" si="4"/>
        <v/>
      </c>
    </row>
    <row r="305" spans="1:1" x14ac:dyDescent="0.2">
      <c r="A305" s="5" t="str">
        <f t="shared" si="4"/>
        <v/>
      </c>
    </row>
    <row r="306" spans="1:1" x14ac:dyDescent="0.2">
      <c r="A306" s="5" t="str">
        <f t="shared" si="4"/>
        <v/>
      </c>
    </row>
    <row r="307" spans="1:1" x14ac:dyDescent="0.2">
      <c r="A307" s="5" t="str">
        <f t="shared" si="4"/>
        <v/>
      </c>
    </row>
    <row r="308" spans="1:1" x14ac:dyDescent="0.2">
      <c r="A308" s="5" t="str">
        <f t="shared" si="4"/>
        <v/>
      </c>
    </row>
    <row r="309" spans="1:1" x14ac:dyDescent="0.2">
      <c r="A309" s="5" t="str">
        <f t="shared" si="4"/>
        <v/>
      </c>
    </row>
    <row r="310" spans="1:1" x14ac:dyDescent="0.2">
      <c r="A310" s="5" t="str">
        <f t="shared" si="4"/>
        <v/>
      </c>
    </row>
    <row r="311" spans="1:1" x14ac:dyDescent="0.2">
      <c r="A311" s="5" t="str">
        <f t="shared" si="4"/>
        <v/>
      </c>
    </row>
    <row r="312" spans="1:1" x14ac:dyDescent="0.2">
      <c r="A312" s="5" t="str">
        <f t="shared" si="4"/>
        <v/>
      </c>
    </row>
    <row r="313" spans="1:1" x14ac:dyDescent="0.2">
      <c r="A313" s="5" t="str">
        <f t="shared" si="4"/>
        <v/>
      </c>
    </row>
    <row r="314" spans="1:1" x14ac:dyDescent="0.2">
      <c r="A314" s="5" t="str">
        <f t="shared" si="4"/>
        <v/>
      </c>
    </row>
    <row r="315" spans="1:1" x14ac:dyDescent="0.2">
      <c r="A315" s="5" t="str">
        <f t="shared" si="4"/>
        <v/>
      </c>
    </row>
    <row r="316" spans="1:1" x14ac:dyDescent="0.2">
      <c r="A316" s="5" t="str">
        <f t="shared" si="4"/>
        <v/>
      </c>
    </row>
    <row r="317" spans="1:1" x14ac:dyDescent="0.2">
      <c r="A317" s="5" t="str">
        <f t="shared" si="4"/>
        <v/>
      </c>
    </row>
    <row r="318" spans="1:1" x14ac:dyDescent="0.2">
      <c r="A318" s="5" t="str">
        <f t="shared" si="4"/>
        <v/>
      </c>
    </row>
    <row r="319" spans="1:1" x14ac:dyDescent="0.2">
      <c r="A319" s="5" t="str">
        <f t="shared" si="4"/>
        <v/>
      </c>
    </row>
    <row r="320" spans="1:1" x14ac:dyDescent="0.2">
      <c r="A320" s="5" t="str">
        <f t="shared" si="4"/>
        <v/>
      </c>
    </row>
    <row r="321" spans="1:1" x14ac:dyDescent="0.2">
      <c r="A321" s="5" t="str">
        <f t="shared" si="4"/>
        <v/>
      </c>
    </row>
    <row r="322" spans="1:1" x14ac:dyDescent="0.2">
      <c r="A322" s="5" t="str">
        <f t="shared" si="4"/>
        <v/>
      </c>
    </row>
    <row r="323" spans="1:1" x14ac:dyDescent="0.2">
      <c r="A323" s="5" t="str">
        <f t="shared" si="4"/>
        <v/>
      </c>
    </row>
    <row r="324" spans="1:1" x14ac:dyDescent="0.2">
      <c r="A324" s="5" t="str">
        <f t="shared" ref="A324:A387" si="5">IF(AND(B323&lt;&gt;"",B324=""),$A$2&amp;"---&gt;","")</f>
        <v/>
      </c>
    </row>
    <row r="325" spans="1:1" x14ac:dyDescent="0.2">
      <c r="A325" s="5" t="str">
        <f t="shared" si="5"/>
        <v/>
      </c>
    </row>
    <row r="326" spans="1:1" x14ac:dyDescent="0.2">
      <c r="A326" s="5" t="str">
        <f t="shared" si="5"/>
        <v/>
      </c>
    </row>
    <row r="327" spans="1:1" x14ac:dyDescent="0.2">
      <c r="A327" s="5" t="str">
        <f t="shared" si="5"/>
        <v/>
      </c>
    </row>
    <row r="328" spans="1:1" x14ac:dyDescent="0.2">
      <c r="A328" s="5" t="str">
        <f t="shared" si="5"/>
        <v/>
      </c>
    </row>
    <row r="329" spans="1:1" x14ac:dyDescent="0.2">
      <c r="A329" s="5" t="str">
        <f t="shared" si="5"/>
        <v/>
      </c>
    </row>
    <row r="330" spans="1:1" x14ac:dyDescent="0.2">
      <c r="A330" s="5" t="str">
        <f t="shared" si="5"/>
        <v/>
      </c>
    </row>
    <row r="331" spans="1:1" x14ac:dyDescent="0.2">
      <c r="A331" s="5" t="str">
        <f t="shared" si="5"/>
        <v/>
      </c>
    </row>
    <row r="332" spans="1:1" x14ac:dyDescent="0.2">
      <c r="A332" s="5" t="str">
        <f t="shared" si="5"/>
        <v/>
      </c>
    </row>
    <row r="333" spans="1:1" x14ac:dyDescent="0.2">
      <c r="A333" s="5" t="str">
        <f t="shared" si="5"/>
        <v/>
      </c>
    </row>
    <row r="334" spans="1:1" x14ac:dyDescent="0.2">
      <c r="A334" s="5" t="str">
        <f t="shared" si="5"/>
        <v/>
      </c>
    </row>
    <row r="335" spans="1:1" x14ac:dyDescent="0.2">
      <c r="A335" s="5" t="str">
        <f t="shared" si="5"/>
        <v/>
      </c>
    </row>
    <row r="336" spans="1:1" x14ac:dyDescent="0.2">
      <c r="A336" s="5" t="str">
        <f t="shared" si="5"/>
        <v/>
      </c>
    </row>
    <row r="337" spans="1:1" x14ac:dyDescent="0.2">
      <c r="A337" s="5" t="str">
        <f t="shared" si="5"/>
        <v/>
      </c>
    </row>
    <row r="338" spans="1:1" x14ac:dyDescent="0.2">
      <c r="A338" s="5" t="str">
        <f t="shared" si="5"/>
        <v/>
      </c>
    </row>
    <row r="339" spans="1:1" x14ac:dyDescent="0.2">
      <c r="A339" s="5" t="str">
        <f t="shared" si="5"/>
        <v/>
      </c>
    </row>
    <row r="340" spans="1:1" x14ac:dyDescent="0.2">
      <c r="A340" s="5" t="str">
        <f t="shared" si="5"/>
        <v/>
      </c>
    </row>
    <row r="341" spans="1:1" x14ac:dyDescent="0.2">
      <c r="A341" s="5" t="str">
        <f t="shared" si="5"/>
        <v/>
      </c>
    </row>
    <row r="342" spans="1:1" x14ac:dyDescent="0.2">
      <c r="A342" s="5" t="str">
        <f t="shared" si="5"/>
        <v/>
      </c>
    </row>
    <row r="343" spans="1:1" x14ac:dyDescent="0.2">
      <c r="A343" s="5" t="str">
        <f t="shared" si="5"/>
        <v/>
      </c>
    </row>
    <row r="344" spans="1:1" x14ac:dyDescent="0.2">
      <c r="A344" s="5" t="str">
        <f t="shared" si="5"/>
        <v/>
      </c>
    </row>
    <row r="345" spans="1:1" x14ac:dyDescent="0.2">
      <c r="A345" s="5" t="str">
        <f t="shared" si="5"/>
        <v/>
      </c>
    </row>
    <row r="346" spans="1:1" x14ac:dyDescent="0.2">
      <c r="A346" s="5" t="str">
        <f t="shared" si="5"/>
        <v/>
      </c>
    </row>
    <row r="347" spans="1:1" x14ac:dyDescent="0.2">
      <c r="A347" s="5" t="str">
        <f t="shared" si="5"/>
        <v/>
      </c>
    </row>
    <row r="348" spans="1:1" x14ac:dyDescent="0.2">
      <c r="A348" s="5" t="str">
        <f t="shared" si="5"/>
        <v/>
      </c>
    </row>
    <row r="349" spans="1:1" x14ac:dyDescent="0.2">
      <c r="A349" s="5" t="str">
        <f t="shared" si="5"/>
        <v/>
      </c>
    </row>
    <row r="350" spans="1:1" x14ac:dyDescent="0.2">
      <c r="A350" s="5" t="str">
        <f t="shared" si="5"/>
        <v/>
      </c>
    </row>
    <row r="351" spans="1:1" x14ac:dyDescent="0.2">
      <c r="A351" s="5" t="str">
        <f t="shared" si="5"/>
        <v/>
      </c>
    </row>
    <row r="352" spans="1:1" x14ac:dyDescent="0.2">
      <c r="A352" s="5" t="str">
        <f t="shared" si="5"/>
        <v/>
      </c>
    </row>
    <row r="353" spans="1:1" x14ac:dyDescent="0.2">
      <c r="A353" s="5" t="str">
        <f t="shared" si="5"/>
        <v/>
      </c>
    </row>
    <row r="354" spans="1:1" x14ac:dyDescent="0.2">
      <c r="A354" s="5" t="str">
        <f t="shared" si="5"/>
        <v/>
      </c>
    </row>
    <row r="355" spans="1:1" x14ac:dyDescent="0.2">
      <c r="A355" s="5" t="str">
        <f t="shared" si="5"/>
        <v/>
      </c>
    </row>
    <row r="356" spans="1:1" x14ac:dyDescent="0.2">
      <c r="A356" s="5" t="str">
        <f t="shared" si="5"/>
        <v/>
      </c>
    </row>
    <row r="357" spans="1:1" x14ac:dyDescent="0.2">
      <c r="A357" s="5" t="str">
        <f t="shared" si="5"/>
        <v/>
      </c>
    </row>
    <row r="358" spans="1:1" x14ac:dyDescent="0.2">
      <c r="A358" s="5" t="str">
        <f t="shared" si="5"/>
        <v/>
      </c>
    </row>
    <row r="359" spans="1:1" x14ac:dyDescent="0.2">
      <c r="A359" s="5" t="str">
        <f t="shared" si="5"/>
        <v/>
      </c>
    </row>
    <row r="360" spans="1:1" x14ac:dyDescent="0.2">
      <c r="A360" s="5" t="str">
        <f t="shared" si="5"/>
        <v/>
      </c>
    </row>
    <row r="361" spans="1:1" x14ac:dyDescent="0.2">
      <c r="A361" s="5" t="str">
        <f t="shared" si="5"/>
        <v/>
      </c>
    </row>
    <row r="362" spans="1:1" x14ac:dyDescent="0.2">
      <c r="A362" s="5" t="str">
        <f t="shared" si="5"/>
        <v/>
      </c>
    </row>
    <row r="363" spans="1:1" x14ac:dyDescent="0.2">
      <c r="A363" s="5" t="str">
        <f t="shared" si="5"/>
        <v/>
      </c>
    </row>
    <row r="364" spans="1:1" x14ac:dyDescent="0.2">
      <c r="A364" s="5" t="str">
        <f t="shared" si="5"/>
        <v/>
      </c>
    </row>
    <row r="365" spans="1:1" x14ac:dyDescent="0.2">
      <c r="A365" s="5" t="str">
        <f t="shared" si="5"/>
        <v/>
      </c>
    </row>
    <row r="366" spans="1:1" x14ac:dyDescent="0.2">
      <c r="A366" s="5" t="str">
        <f t="shared" si="5"/>
        <v/>
      </c>
    </row>
    <row r="367" spans="1:1" x14ac:dyDescent="0.2">
      <c r="A367" s="5" t="str">
        <f t="shared" si="5"/>
        <v/>
      </c>
    </row>
    <row r="368" spans="1:1" x14ac:dyDescent="0.2">
      <c r="A368" s="5" t="str">
        <f t="shared" si="5"/>
        <v/>
      </c>
    </row>
    <row r="369" spans="1:1" x14ac:dyDescent="0.2">
      <c r="A369" s="5" t="str">
        <f t="shared" si="5"/>
        <v/>
      </c>
    </row>
    <row r="370" spans="1:1" x14ac:dyDescent="0.2">
      <c r="A370" s="5" t="str">
        <f t="shared" si="5"/>
        <v/>
      </c>
    </row>
    <row r="371" spans="1:1" x14ac:dyDescent="0.2">
      <c r="A371" s="5" t="str">
        <f t="shared" si="5"/>
        <v/>
      </c>
    </row>
    <row r="372" spans="1:1" x14ac:dyDescent="0.2">
      <c r="A372" s="5" t="str">
        <f t="shared" si="5"/>
        <v/>
      </c>
    </row>
    <row r="373" spans="1:1" x14ac:dyDescent="0.2">
      <c r="A373" s="5" t="str">
        <f t="shared" si="5"/>
        <v/>
      </c>
    </row>
    <row r="374" spans="1:1" x14ac:dyDescent="0.2">
      <c r="A374" s="5" t="str">
        <f t="shared" si="5"/>
        <v/>
      </c>
    </row>
    <row r="375" spans="1:1" x14ac:dyDescent="0.2">
      <c r="A375" s="5" t="str">
        <f t="shared" si="5"/>
        <v/>
      </c>
    </row>
    <row r="376" spans="1:1" x14ac:dyDescent="0.2">
      <c r="A376" s="5" t="str">
        <f t="shared" si="5"/>
        <v/>
      </c>
    </row>
    <row r="377" spans="1:1" x14ac:dyDescent="0.2">
      <c r="A377" s="5" t="str">
        <f t="shared" si="5"/>
        <v/>
      </c>
    </row>
    <row r="378" spans="1:1" x14ac:dyDescent="0.2">
      <c r="A378" s="5" t="str">
        <f t="shared" si="5"/>
        <v/>
      </c>
    </row>
    <row r="379" spans="1:1" x14ac:dyDescent="0.2">
      <c r="A379" s="5" t="str">
        <f t="shared" si="5"/>
        <v/>
      </c>
    </row>
    <row r="380" spans="1:1" x14ac:dyDescent="0.2">
      <c r="A380" s="5" t="str">
        <f t="shared" si="5"/>
        <v/>
      </c>
    </row>
    <row r="381" spans="1:1" x14ac:dyDescent="0.2">
      <c r="A381" s="5" t="str">
        <f t="shared" si="5"/>
        <v/>
      </c>
    </row>
    <row r="382" spans="1:1" x14ac:dyDescent="0.2">
      <c r="A382" s="5" t="str">
        <f t="shared" si="5"/>
        <v/>
      </c>
    </row>
    <row r="383" spans="1:1" x14ac:dyDescent="0.2">
      <c r="A383" s="5" t="str">
        <f t="shared" si="5"/>
        <v/>
      </c>
    </row>
    <row r="384" spans="1:1" x14ac:dyDescent="0.2">
      <c r="A384" s="5" t="str">
        <f t="shared" si="5"/>
        <v/>
      </c>
    </row>
    <row r="385" spans="1:1" x14ac:dyDescent="0.2">
      <c r="A385" s="5" t="str">
        <f t="shared" si="5"/>
        <v/>
      </c>
    </row>
    <row r="386" spans="1:1" x14ac:dyDescent="0.2">
      <c r="A386" s="5" t="str">
        <f t="shared" si="5"/>
        <v/>
      </c>
    </row>
    <row r="387" spans="1:1" x14ac:dyDescent="0.2">
      <c r="A387" s="5" t="str">
        <f t="shared" si="5"/>
        <v/>
      </c>
    </row>
    <row r="388" spans="1:1" x14ac:dyDescent="0.2">
      <c r="A388" s="5" t="str">
        <f t="shared" ref="A388:A451" si="6">IF(AND(B387&lt;&gt;"",B388=""),$A$2&amp;"---&gt;","")</f>
        <v/>
      </c>
    </row>
    <row r="389" spans="1:1" x14ac:dyDescent="0.2">
      <c r="A389" s="5" t="str">
        <f t="shared" si="6"/>
        <v/>
      </c>
    </row>
    <row r="390" spans="1:1" x14ac:dyDescent="0.2">
      <c r="A390" s="5" t="str">
        <f t="shared" si="6"/>
        <v/>
      </c>
    </row>
    <row r="391" spans="1:1" x14ac:dyDescent="0.2">
      <c r="A391" s="5" t="str">
        <f t="shared" si="6"/>
        <v/>
      </c>
    </row>
    <row r="392" spans="1:1" x14ac:dyDescent="0.2">
      <c r="A392" s="5" t="str">
        <f t="shared" si="6"/>
        <v/>
      </c>
    </row>
    <row r="393" spans="1:1" x14ac:dyDescent="0.2">
      <c r="A393" s="5" t="str">
        <f t="shared" si="6"/>
        <v/>
      </c>
    </row>
    <row r="394" spans="1:1" x14ac:dyDescent="0.2">
      <c r="A394" s="5" t="str">
        <f t="shared" si="6"/>
        <v/>
      </c>
    </row>
    <row r="395" spans="1:1" x14ac:dyDescent="0.2">
      <c r="A395" s="5" t="str">
        <f t="shared" si="6"/>
        <v/>
      </c>
    </row>
    <row r="396" spans="1:1" x14ac:dyDescent="0.2">
      <c r="A396" s="5" t="str">
        <f t="shared" si="6"/>
        <v/>
      </c>
    </row>
    <row r="397" spans="1:1" x14ac:dyDescent="0.2">
      <c r="A397" s="5" t="str">
        <f t="shared" si="6"/>
        <v/>
      </c>
    </row>
    <row r="398" spans="1:1" x14ac:dyDescent="0.2">
      <c r="A398" s="5" t="str">
        <f t="shared" si="6"/>
        <v/>
      </c>
    </row>
    <row r="399" spans="1:1" x14ac:dyDescent="0.2">
      <c r="A399" s="5" t="str">
        <f t="shared" si="6"/>
        <v/>
      </c>
    </row>
    <row r="400" spans="1:1" x14ac:dyDescent="0.2">
      <c r="A400" s="5" t="str">
        <f t="shared" si="6"/>
        <v/>
      </c>
    </row>
    <row r="401" spans="1:1" x14ac:dyDescent="0.2">
      <c r="A401" s="5" t="str">
        <f t="shared" si="6"/>
        <v/>
      </c>
    </row>
    <row r="402" spans="1:1" x14ac:dyDescent="0.2">
      <c r="A402" s="5" t="str">
        <f t="shared" si="6"/>
        <v/>
      </c>
    </row>
    <row r="403" spans="1:1" x14ac:dyDescent="0.2">
      <c r="A403" s="5" t="str">
        <f t="shared" si="6"/>
        <v/>
      </c>
    </row>
    <row r="404" spans="1:1" x14ac:dyDescent="0.2">
      <c r="A404" s="5" t="str">
        <f t="shared" si="6"/>
        <v/>
      </c>
    </row>
    <row r="405" spans="1:1" x14ac:dyDescent="0.2">
      <c r="A405" s="5" t="str">
        <f t="shared" si="6"/>
        <v/>
      </c>
    </row>
    <row r="406" spans="1:1" x14ac:dyDescent="0.2">
      <c r="A406" s="5" t="str">
        <f t="shared" si="6"/>
        <v/>
      </c>
    </row>
    <row r="407" spans="1:1" x14ac:dyDescent="0.2">
      <c r="A407" s="5" t="str">
        <f t="shared" si="6"/>
        <v/>
      </c>
    </row>
    <row r="408" spans="1:1" x14ac:dyDescent="0.2">
      <c r="A408" s="5" t="str">
        <f t="shared" si="6"/>
        <v/>
      </c>
    </row>
    <row r="409" spans="1:1" x14ac:dyDescent="0.2">
      <c r="A409" s="5" t="str">
        <f t="shared" si="6"/>
        <v/>
      </c>
    </row>
    <row r="410" spans="1:1" x14ac:dyDescent="0.2">
      <c r="A410" s="5" t="str">
        <f t="shared" si="6"/>
        <v/>
      </c>
    </row>
    <row r="411" spans="1:1" x14ac:dyDescent="0.2">
      <c r="A411" s="5" t="str">
        <f t="shared" si="6"/>
        <v/>
      </c>
    </row>
    <row r="412" spans="1:1" x14ac:dyDescent="0.2">
      <c r="A412" s="5" t="str">
        <f t="shared" si="6"/>
        <v/>
      </c>
    </row>
    <row r="413" spans="1:1" x14ac:dyDescent="0.2">
      <c r="A413" s="5" t="str">
        <f t="shared" si="6"/>
        <v/>
      </c>
    </row>
    <row r="414" spans="1:1" x14ac:dyDescent="0.2">
      <c r="A414" s="5" t="str">
        <f t="shared" si="6"/>
        <v/>
      </c>
    </row>
    <row r="415" spans="1:1" x14ac:dyDescent="0.2">
      <c r="A415" s="5" t="str">
        <f t="shared" si="6"/>
        <v/>
      </c>
    </row>
    <row r="416" spans="1:1" x14ac:dyDescent="0.2">
      <c r="A416" s="5" t="str">
        <f t="shared" si="6"/>
        <v/>
      </c>
    </row>
    <row r="417" spans="1:1" x14ac:dyDescent="0.2">
      <c r="A417" s="5" t="str">
        <f t="shared" si="6"/>
        <v/>
      </c>
    </row>
    <row r="418" spans="1:1" x14ac:dyDescent="0.2">
      <c r="A418" s="5" t="str">
        <f t="shared" si="6"/>
        <v/>
      </c>
    </row>
    <row r="419" spans="1:1" x14ac:dyDescent="0.2">
      <c r="A419" s="5" t="str">
        <f t="shared" si="6"/>
        <v/>
      </c>
    </row>
    <row r="420" spans="1:1" x14ac:dyDescent="0.2">
      <c r="A420" s="5" t="str">
        <f t="shared" si="6"/>
        <v/>
      </c>
    </row>
    <row r="421" spans="1:1" x14ac:dyDescent="0.2">
      <c r="A421" s="5" t="str">
        <f t="shared" si="6"/>
        <v/>
      </c>
    </row>
    <row r="422" spans="1:1" x14ac:dyDescent="0.2">
      <c r="A422" s="5" t="str">
        <f t="shared" si="6"/>
        <v/>
      </c>
    </row>
    <row r="423" spans="1:1" x14ac:dyDescent="0.2">
      <c r="A423" s="5" t="str">
        <f t="shared" si="6"/>
        <v/>
      </c>
    </row>
    <row r="424" spans="1:1" x14ac:dyDescent="0.2">
      <c r="A424" s="5" t="str">
        <f t="shared" si="6"/>
        <v/>
      </c>
    </row>
    <row r="425" spans="1:1" x14ac:dyDescent="0.2">
      <c r="A425" s="5" t="str">
        <f t="shared" si="6"/>
        <v/>
      </c>
    </row>
    <row r="426" spans="1:1" x14ac:dyDescent="0.2">
      <c r="A426" s="5" t="str">
        <f t="shared" si="6"/>
        <v/>
      </c>
    </row>
    <row r="427" spans="1:1" x14ac:dyDescent="0.2">
      <c r="A427" s="5" t="str">
        <f t="shared" si="6"/>
        <v/>
      </c>
    </row>
    <row r="428" spans="1:1" x14ac:dyDescent="0.2">
      <c r="A428" s="5" t="str">
        <f t="shared" si="6"/>
        <v/>
      </c>
    </row>
    <row r="429" spans="1:1" x14ac:dyDescent="0.2">
      <c r="A429" s="5" t="str">
        <f t="shared" si="6"/>
        <v/>
      </c>
    </row>
    <row r="430" spans="1:1" x14ac:dyDescent="0.2">
      <c r="A430" s="5" t="str">
        <f t="shared" si="6"/>
        <v/>
      </c>
    </row>
    <row r="431" spans="1:1" x14ac:dyDescent="0.2">
      <c r="A431" s="5" t="str">
        <f t="shared" si="6"/>
        <v/>
      </c>
    </row>
    <row r="432" spans="1:1" x14ac:dyDescent="0.2">
      <c r="A432" s="5" t="str">
        <f t="shared" si="6"/>
        <v/>
      </c>
    </row>
    <row r="433" spans="1:1" x14ac:dyDescent="0.2">
      <c r="A433" s="5" t="str">
        <f t="shared" si="6"/>
        <v/>
      </c>
    </row>
    <row r="434" spans="1:1" x14ac:dyDescent="0.2">
      <c r="A434" s="5" t="str">
        <f t="shared" si="6"/>
        <v/>
      </c>
    </row>
    <row r="435" spans="1:1" x14ac:dyDescent="0.2">
      <c r="A435" s="5" t="str">
        <f t="shared" si="6"/>
        <v/>
      </c>
    </row>
    <row r="436" spans="1:1" x14ac:dyDescent="0.2">
      <c r="A436" s="5" t="str">
        <f t="shared" si="6"/>
        <v/>
      </c>
    </row>
    <row r="437" spans="1:1" x14ac:dyDescent="0.2">
      <c r="A437" s="5" t="str">
        <f t="shared" si="6"/>
        <v/>
      </c>
    </row>
    <row r="438" spans="1:1" x14ac:dyDescent="0.2">
      <c r="A438" s="5" t="str">
        <f t="shared" si="6"/>
        <v/>
      </c>
    </row>
    <row r="439" spans="1:1" x14ac:dyDescent="0.2">
      <c r="A439" s="5" t="str">
        <f t="shared" si="6"/>
        <v/>
      </c>
    </row>
    <row r="440" spans="1:1" x14ac:dyDescent="0.2">
      <c r="A440" s="5" t="str">
        <f t="shared" si="6"/>
        <v/>
      </c>
    </row>
    <row r="441" spans="1:1" x14ac:dyDescent="0.2">
      <c r="A441" s="5" t="str">
        <f t="shared" si="6"/>
        <v/>
      </c>
    </row>
    <row r="442" spans="1:1" x14ac:dyDescent="0.2">
      <c r="A442" s="5" t="str">
        <f t="shared" si="6"/>
        <v/>
      </c>
    </row>
    <row r="443" spans="1:1" x14ac:dyDescent="0.2">
      <c r="A443" s="5" t="str">
        <f t="shared" si="6"/>
        <v/>
      </c>
    </row>
    <row r="444" spans="1:1" x14ac:dyDescent="0.2">
      <c r="A444" s="5" t="str">
        <f t="shared" si="6"/>
        <v/>
      </c>
    </row>
    <row r="445" spans="1:1" x14ac:dyDescent="0.2">
      <c r="A445" s="5" t="str">
        <f t="shared" si="6"/>
        <v/>
      </c>
    </row>
    <row r="446" spans="1:1" x14ac:dyDescent="0.2">
      <c r="A446" s="5" t="str">
        <f t="shared" si="6"/>
        <v/>
      </c>
    </row>
    <row r="447" spans="1:1" x14ac:dyDescent="0.2">
      <c r="A447" s="5" t="str">
        <f t="shared" si="6"/>
        <v/>
      </c>
    </row>
    <row r="448" spans="1:1" x14ac:dyDescent="0.2">
      <c r="A448" s="5" t="str">
        <f t="shared" si="6"/>
        <v/>
      </c>
    </row>
    <row r="449" spans="1:1" x14ac:dyDescent="0.2">
      <c r="A449" s="5" t="str">
        <f t="shared" si="6"/>
        <v/>
      </c>
    </row>
    <row r="450" spans="1:1" x14ac:dyDescent="0.2">
      <c r="A450" s="5" t="str">
        <f t="shared" si="6"/>
        <v/>
      </c>
    </row>
    <row r="451" spans="1:1" x14ac:dyDescent="0.2">
      <c r="A451" s="5" t="str">
        <f t="shared" si="6"/>
        <v/>
      </c>
    </row>
    <row r="452" spans="1:1" x14ac:dyDescent="0.2">
      <c r="A452" s="5" t="str">
        <f t="shared" ref="A452:A515" si="7">IF(AND(B451&lt;&gt;"",B452=""),$A$2&amp;"---&gt;","")</f>
        <v/>
      </c>
    </row>
    <row r="453" spans="1:1" x14ac:dyDescent="0.2">
      <c r="A453" s="5" t="str">
        <f t="shared" si="7"/>
        <v/>
      </c>
    </row>
    <row r="454" spans="1:1" x14ac:dyDescent="0.2">
      <c r="A454" s="5" t="str">
        <f t="shared" si="7"/>
        <v/>
      </c>
    </row>
    <row r="455" spans="1:1" x14ac:dyDescent="0.2">
      <c r="A455" s="5" t="str">
        <f t="shared" si="7"/>
        <v/>
      </c>
    </row>
    <row r="456" spans="1:1" x14ac:dyDescent="0.2">
      <c r="A456" s="5" t="str">
        <f t="shared" si="7"/>
        <v/>
      </c>
    </row>
    <row r="457" spans="1:1" x14ac:dyDescent="0.2">
      <c r="A457" s="5" t="str">
        <f t="shared" si="7"/>
        <v/>
      </c>
    </row>
    <row r="458" spans="1:1" x14ac:dyDescent="0.2">
      <c r="A458" s="5" t="str">
        <f t="shared" si="7"/>
        <v/>
      </c>
    </row>
    <row r="459" spans="1:1" x14ac:dyDescent="0.2">
      <c r="A459" s="5" t="str">
        <f t="shared" si="7"/>
        <v/>
      </c>
    </row>
    <row r="460" spans="1:1" x14ac:dyDescent="0.2">
      <c r="A460" s="5" t="str">
        <f t="shared" si="7"/>
        <v/>
      </c>
    </row>
    <row r="461" spans="1:1" x14ac:dyDescent="0.2">
      <c r="A461" s="5" t="str">
        <f t="shared" si="7"/>
        <v/>
      </c>
    </row>
    <row r="462" spans="1:1" x14ac:dyDescent="0.2">
      <c r="A462" s="5" t="str">
        <f t="shared" si="7"/>
        <v/>
      </c>
    </row>
    <row r="463" spans="1:1" x14ac:dyDescent="0.2">
      <c r="A463" s="5" t="str">
        <f t="shared" si="7"/>
        <v/>
      </c>
    </row>
    <row r="464" spans="1:1" x14ac:dyDescent="0.2">
      <c r="A464" s="5" t="str">
        <f t="shared" si="7"/>
        <v/>
      </c>
    </row>
    <row r="465" spans="1:1" x14ac:dyDescent="0.2">
      <c r="A465" s="5" t="str">
        <f t="shared" si="7"/>
        <v/>
      </c>
    </row>
    <row r="466" spans="1:1" x14ac:dyDescent="0.2">
      <c r="A466" s="5" t="str">
        <f t="shared" si="7"/>
        <v/>
      </c>
    </row>
    <row r="467" spans="1:1" x14ac:dyDescent="0.2">
      <c r="A467" s="5" t="str">
        <f t="shared" si="7"/>
        <v/>
      </c>
    </row>
    <row r="468" spans="1:1" x14ac:dyDescent="0.2">
      <c r="A468" s="5" t="str">
        <f t="shared" si="7"/>
        <v/>
      </c>
    </row>
    <row r="469" spans="1:1" x14ac:dyDescent="0.2">
      <c r="A469" s="5" t="str">
        <f t="shared" si="7"/>
        <v/>
      </c>
    </row>
    <row r="470" spans="1:1" x14ac:dyDescent="0.2">
      <c r="A470" s="5" t="str">
        <f t="shared" si="7"/>
        <v/>
      </c>
    </row>
    <row r="471" spans="1:1" x14ac:dyDescent="0.2">
      <c r="A471" s="5" t="str">
        <f t="shared" si="7"/>
        <v/>
      </c>
    </row>
    <row r="472" spans="1:1" x14ac:dyDescent="0.2">
      <c r="A472" s="5" t="str">
        <f t="shared" si="7"/>
        <v/>
      </c>
    </row>
    <row r="473" spans="1:1" x14ac:dyDescent="0.2">
      <c r="A473" s="5" t="str">
        <f t="shared" si="7"/>
        <v/>
      </c>
    </row>
    <row r="474" spans="1:1" x14ac:dyDescent="0.2">
      <c r="A474" s="5" t="str">
        <f t="shared" si="7"/>
        <v/>
      </c>
    </row>
    <row r="475" spans="1:1" x14ac:dyDescent="0.2">
      <c r="A475" s="5" t="str">
        <f t="shared" si="7"/>
        <v/>
      </c>
    </row>
    <row r="476" spans="1:1" x14ac:dyDescent="0.2">
      <c r="A476" s="5" t="str">
        <f t="shared" si="7"/>
        <v/>
      </c>
    </row>
    <row r="477" spans="1:1" x14ac:dyDescent="0.2">
      <c r="A477" s="5" t="str">
        <f t="shared" si="7"/>
        <v/>
      </c>
    </row>
    <row r="478" spans="1:1" x14ac:dyDescent="0.2">
      <c r="A478" s="5" t="str">
        <f t="shared" si="7"/>
        <v/>
      </c>
    </row>
    <row r="479" spans="1:1" x14ac:dyDescent="0.2">
      <c r="A479" s="5" t="str">
        <f t="shared" si="7"/>
        <v/>
      </c>
    </row>
    <row r="480" spans="1:1" x14ac:dyDescent="0.2">
      <c r="A480" s="5" t="str">
        <f t="shared" si="7"/>
        <v/>
      </c>
    </row>
    <row r="481" spans="1:1" x14ac:dyDescent="0.2">
      <c r="A481" s="5" t="str">
        <f t="shared" si="7"/>
        <v/>
      </c>
    </row>
    <row r="482" spans="1:1" x14ac:dyDescent="0.2">
      <c r="A482" s="5" t="str">
        <f t="shared" si="7"/>
        <v/>
      </c>
    </row>
    <row r="483" spans="1:1" x14ac:dyDescent="0.2">
      <c r="A483" s="5" t="str">
        <f t="shared" si="7"/>
        <v/>
      </c>
    </row>
    <row r="484" spans="1:1" x14ac:dyDescent="0.2">
      <c r="A484" s="5" t="str">
        <f t="shared" si="7"/>
        <v/>
      </c>
    </row>
    <row r="485" spans="1:1" x14ac:dyDescent="0.2">
      <c r="A485" s="5" t="str">
        <f t="shared" si="7"/>
        <v/>
      </c>
    </row>
    <row r="486" spans="1:1" x14ac:dyDescent="0.2">
      <c r="A486" s="5" t="str">
        <f t="shared" si="7"/>
        <v/>
      </c>
    </row>
    <row r="487" spans="1:1" x14ac:dyDescent="0.2">
      <c r="A487" s="5" t="str">
        <f t="shared" si="7"/>
        <v/>
      </c>
    </row>
    <row r="488" spans="1:1" x14ac:dyDescent="0.2">
      <c r="A488" s="5" t="str">
        <f t="shared" si="7"/>
        <v/>
      </c>
    </row>
    <row r="489" spans="1:1" x14ac:dyDescent="0.2">
      <c r="A489" s="5" t="str">
        <f t="shared" si="7"/>
        <v/>
      </c>
    </row>
    <row r="490" spans="1:1" x14ac:dyDescent="0.2">
      <c r="A490" s="5" t="str">
        <f t="shared" si="7"/>
        <v/>
      </c>
    </row>
    <row r="491" spans="1:1" x14ac:dyDescent="0.2">
      <c r="A491" s="5" t="str">
        <f t="shared" si="7"/>
        <v/>
      </c>
    </row>
    <row r="492" spans="1:1" x14ac:dyDescent="0.2">
      <c r="A492" s="5" t="str">
        <f t="shared" si="7"/>
        <v/>
      </c>
    </row>
    <row r="493" spans="1:1" x14ac:dyDescent="0.2">
      <c r="A493" s="5" t="str">
        <f t="shared" si="7"/>
        <v/>
      </c>
    </row>
    <row r="494" spans="1:1" x14ac:dyDescent="0.2">
      <c r="A494" s="5" t="str">
        <f t="shared" si="7"/>
        <v/>
      </c>
    </row>
    <row r="495" spans="1:1" x14ac:dyDescent="0.2">
      <c r="A495" s="5" t="str">
        <f t="shared" si="7"/>
        <v/>
      </c>
    </row>
    <row r="496" spans="1:1" x14ac:dyDescent="0.2">
      <c r="A496" s="5" t="str">
        <f t="shared" si="7"/>
        <v/>
      </c>
    </row>
    <row r="497" spans="1:1" x14ac:dyDescent="0.2">
      <c r="A497" s="5" t="str">
        <f t="shared" si="7"/>
        <v/>
      </c>
    </row>
    <row r="498" spans="1:1" x14ac:dyDescent="0.2">
      <c r="A498" s="5" t="str">
        <f t="shared" si="7"/>
        <v/>
      </c>
    </row>
    <row r="499" spans="1:1" x14ac:dyDescent="0.2">
      <c r="A499" s="5" t="str">
        <f t="shared" si="7"/>
        <v/>
      </c>
    </row>
    <row r="500" spans="1:1" x14ac:dyDescent="0.2">
      <c r="A500" s="5" t="str">
        <f t="shared" si="7"/>
        <v/>
      </c>
    </row>
    <row r="501" spans="1:1" x14ac:dyDescent="0.2">
      <c r="A501" s="5" t="str">
        <f t="shared" si="7"/>
        <v/>
      </c>
    </row>
    <row r="502" spans="1:1" x14ac:dyDescent="0.2">
      <c r="A502" s="5" t="str">
        <f t="shared" si="7"/>
        <v/>
      </c>
    </row>
    <row r="503" spans="1:1" x14ac:dyDescent="0.2">
      <c r="A503" s="5" t="str">
        <f t="shared" si="7"/>
        <v/>
      </c>
    </row>
    <row r="504" spans="1:1" x14ac:dyDescent="0.2">
      <c r="A504" s="5" t="str">
        <f t="shared" si="7"/>
        <v/>
      </c>
    </row>
    <row r="505" spans="1:1" x14ac:dyDescent="0.2">
      <c r="A505" s="5" t="str">
        <f t="shared" si="7"/>
        <v/>
      </c>
    </row>
    <row r="506" spans="1:1" x14ac:dyDescent="0.2">
      <c r="A506" s="5" t="str">
        <f t="shared" si="7"/>
        <v/>
      </c>
    </row>
    <row r="507" spans="1:1" x14ac:dyDescent="0.2">
      <c r="A507" s="5" t="str">
        <f t="shared" si="7"/>
        <v/>
      </c>
    </row>
    <row r="508" spans="1:1" x14ac:dyDescent="0.2">
      <c r="A508" s="5" t="str">
        <f t="shared" si="7"/>
        <v/>
      </c>
    </row>
    <row r="509" spans="1:1" x14ac:dyDescent="0.2">
      <c r="A509" s="5" t="str">
        <f t="shared" si="7"/>
        <v/>
      </c>
    </row>
    <row r="510" spans="1:1" x14ac:dyDescent="0.2">
      <c r="A510" s="5" t="str">
        <f t="shared" si="7"/>
        <v/>
      </c>
    </row>
    <row r="511" spans="1:1" x14ac:dyDescent="0.2">
      <c r="A511" s="5" t="str">
        <f t="shared" si="7"/>
        <v/>
      </c>
    </row>
    <row r="512" spans="1:1" x14ac:dyDescent="0.2">
      <c r="A512" s="5" t="str">
        <f t="shared" si="7"/>
        <v/>
      </c>
    </row>
    <row r="513" spans="1:1" x14ac:dyDescent="0.2">
      <c r="A513" s="5" t="str">
        <f t="shared" si="7"/>
        <v/>
      </c>
    </row>
    <row r="514" spans="1:1" x14ac:dyDescent="0.2">
      <c r="A514" s="5" t="str">
        <f t="shared" si="7"/>
        <v/>
      </c>
    </row>
    <row r="515" spans="1:1" x14ac:dyDescent="0.2">
      <c r="A515" s="5" t="str">
        <f t="shared" si="7"/>
        <v/>
      </c>
    </row>
    <row r="516" spans="1:1" x14ac:dyDescent="0.2">
      <c r="A516" s="5" t="str">
        <f t="shared" ref="A516:A579" si="8">IF(AND(B515&lt;&gt;"",B516=""),$A$2&amp;"---&gt;","")</f>
        <v/>
      </c>
    </row>
    <row r="517" spans="1:1" x14ac:dyDescent="0.2">
      <c r="A517" s="5" t="str">
        <f t="shared" si="8"/>
        <v/>
      </c>
    </row>
    <row r="518" spans="1:1" x14ac:dyDescent="0.2">
      <c r="A518" s="5" t="str">
        <f t="shared" si="8"/>
        <v/>
      </c>
    </row>
    <row r="519" spans="1:1" x14ac:dyDescent="0.2">
      <c r="A519" s="5" t="str">
        <f t="shared" si="8"/>
        <v/>
      </c>
    </row>
    <row r="520" spans="1:1" x14ac:dyDescent="0.2">
      <c r="A520" s="5" t="str">
        <f t="shared" si="8"/>
        <v/>
      </c>
    </row>
    <row r="521" spans="1:1" x14ac:dyDescent="0.2">
      <c r="A521" s="5" t="str">
        <f t="shared" si="8"/>
        <v/>
      </c>
    </row>
    <row r="522" spans="1:1" x14ac:dyDescent="0.2">
      <c r="A522" s="5" t="str">
        <f t="shared" si="8"/>
        <v/>
      </c>
    </row>
    <row r="523" spans="1:1" x14ac:dyDescent="0.2">
      <c r="A523" s="5" t="str">
        <f t="shared" si="8"/>
        <v/>
      </c>
    </row>
    <row r="524" spans="1:1" x14ac:dyDescent="0.2">
      <c r="A524" s="5" t="str">
        <f t="shared" si="8"/>
        <v/>
      </c>
    </row>
    <row r="525" spans="1:1" x14ac:dyDescent="0.2">
      <c r="A525" s="5" t="str">
        <f t="shared" si="8"/>
        <v/>
      </c>
    </row>
    <row r="526" spans="1:1" x14ac:dyDescent="0.2">
      <c r="A526" s="5" t="str">
        <f t="shared" si="8"/>
        <v/>
      </c>
    </row>
    <row r="527" spans="1:1" x14ac:dyDescent="0.2">
      <c r="A527" s="5" t="str">
        <f t="shared" si="8"/>
        <v/>
      </c>
    </row>
    <row r="528" spans="1:1" x14ac:dyDescent="0.2">
      <c r="A528" s="5" t="str">
        <f t="shared" si="8"/>
        <v/>
      </c>
    </row>
    <row r="529" spans="1:1" x14ac:dyDescent="0.2">
      <c r="A529" s="5" t="str">
        <f t="shared" si="8"/>
        <v/>
      </c>
    </row>
    <row r="530" spans="1:1" x14ac:dyDescent="0.2">
      <c r="A530" s="5" t="str">
        <f t="shared" si="8"/>
        <v/>
      </c>
    </row>
    <row r="531" spans="1:1" x14ac:dyDescent="0.2">
      <c r="A531" s="5" t="str">
        <f t="shared" si="8"/>
        <v/>
      </c>
    </row>
    <row r="532" spans="1:1" x14ac:dyDescent="0.2">
      <c r="A532" s="5" t="str">
        <f t="shared" si="8"/>
        <v/>
      </c>
    </row>
    <row r="533" spans="1:1" x14ac:dyDescent="0.2">
      <c r="A533" s="5" t="str">
        <f t="shared" si="8"/>
        <v/>
      </c>
    </row>
    <row r="534" spans="1:1" x14ac:dyDescent="0.2">
      <c r="A534" s="5" t="str">
        <f t="shared" si="8"/>
        <v/>
      </c>
    </row>
    <row r="535" spans="1:1" x14ac:dyDescent="0.2">
      <c r="A535" s="5" t="str">
        <f t="shared" si="8"/>
        <v/>
      </c>
    </row>
    <row r="536" spans="1:1" x14ac:dyDescent="0.2">
      <c r="A536" s="5" t="str">
        <f t="shared" si="8"/>
        <v/>
      </c>
    </row>
    <row r="537" spans="1:1" x14ac:dyDescent="0.2">
      <c r="A537" s="5" t="str">
        <f t="shared" si="8"/>
        <v/>
      </c>
    </row>
    <row r="538" spans="1:1" x14ac:dyDescent="0.2">
      <c r="A538" s="5" t="str">
        <f t="shared" si="8"/>
        <v/>
      </c>
    </row>
    <row r="539" spans="1:1" x14ac:dyDescent="0.2">
      <c r="A539" s="5" t="str">
        <f t="shared" si="8"/>
        <v/>
      </c>
    </row>
    <row r="540" spans="1:1" x14ac:dyDescent="0.2">
      <c r="A540" s="5" t="str">
        <f t="shared" si="8"/>
        <v/>
      </c>
    </row>
    <row r="541" spans="1:1" x14ac:dyDescent="0.2">
      <c r="A541" s="5" t="str">
        <f t="shared" si="8"/>
        <v/>
      </c>
    </row>
    <row r="542" spans="1:1" x14ac:dyDescent="0.2">
      <c r="A542" s="5" t="str">
        <f t="shared" si="8"/>
        <v/>
      </c>
    </row>
    <row r="543" spans="1:1" x14ac:dyDescent="0.2">
      <c r="A543" s="5" t="str">
        <f t="shared" si="8"/>
        <v/>
      </c>
    </row>
    <row r="544" spans="1:1" x14ac:dyDescent="0.2">
      <c r="A544" s="5" t="str">
        <f t="shared" si="8"/>
        <v/>
      </c>
    </row>
    <row r="545" spans="1:1" x14ac:dyDescent="0.2">
      <c r="A545" s="5" t="str">
        <f t="shared" si="8"/>
        <v/>
      </c>
    </row>
    <row r="546" spans="1:1" x14ac:dyDescent="0.2">
      <c r="A546" s="5" t="str">
        <f t="shared" si="8"/>
        <v/>
      </c>
    </row>
    <row r="547" spans="1:1" x14ac:dyDescent="0.2">
      <c r="A547" s="5" t="str">
        <f t="shared" si="8"/>
        <v/>
      </c>
    </row>
    <row r="548" spans="1:1" x14ac:dyDescent="0.2">
      <c r="A548" s="5" t="str">
        <f t="shared" si="8"/>
        <v/>
      </c>
    </row>
    <row r="549" spans="1:1" x14ac:dyDescent="0.2">
      <c r="A549" s="5" t="str">
        <f t="shared" si="8"/>
        <v/>
      </c>
    </row>
    <row r="550" spans="1:1" x14ac:dyDescent="0.2">
      <c r="A550" s="5" t="str">
        <f t="shared" si="8"/>
        <v/>
      </c>
    </row>
    <row r="551" spans="1:1" x14ac:dyDescent="0.2">
      <c r="A551" s="5" t="str">
        <f t="shared" si="8"/>
        <v/>
      </c>
    </row>
    <row r="552" spans="1:1" x14ac:dyDescent="0.2">
      <c r="A552" s="5" t="str">
        <f t="shared" si="8"/>
        <v/>
      </c>
    </row>
    <row r="553" spans="1:1" x14ac:dyDescent="0.2">
      <c r="A553" s="5" t="str">
        <f t="shared" si="8"/>
        <v/>
      </c>
    </row>
    <row r="554" spans="1:1" x14ac:dyDescent="0.2">
      <c r="A554" s="5" t="str">
        <f t="shared" si="8"/>
        <v/>
      </c>
    </row>
    <row r="555" spans="1:1" x14ac:dyDescent="0.2">
      <c r="A555" s="5" t="str">
        <f t="shared" si="8"/>
        <v/>
      </c>
    </row>
    <row r="556" spans="1:1" x14ac:dyDescent="0.2">
      <c r="A556" s="5" t="str">
        <f t="shared" si="8"/>
        <v/>
      </c>
    </row>
    <row r="557" spans="1:1" x14ac:dyDescent="0.2">
      <c r="A557" s="5" t="str">
        <f t="shared" si="8"/>
        <v/>
      </c>
    </row>
    <row r="558" spans="1:1" x14ac:dyDescent="0.2">
      <c r="A558" s="5" t="str">
        <f t="shared" si="8"/>
        <v/>
      </c>
    </row>
    <row r="559" spans="1:1" x14ac:dyDescent="0.2">
      <c r="A559" s="5" t="str">
        <f t="shared" si="8"/>
        <v/>
      </c>
    </row>
    <row r="560" spans="1:1" x14ac:dyDescent="0.2">
      <c r="A560" s="5" t="str">
        <f t="shared" si="8"/>
        <v/>
      </c>
    </row>
    <row r="561" spans="1:1" x14ac:dyDescent="0.2">
      <c r="A561" s="5" t="str">
        <f t="shared" si="8"/>
        <v/>
      </c>
    </row>
    <row r="562" spans="1:1" x14ac:dyDescent="0.2">
      <c r="A562" s="5" t="str">
        <f t="shared" si="8"/>
        <v/>
      </c>
    </row>
    <row r="563" spans="1:1" x14ac:dyDescent="0.2">
      <c r="A563" s="5" t="str">
        <f t="shared" si="8"/>
        <v/>
      </c>
    </row>
    <row r="564" spans="1:1" x14ac:dyDescent="0.2">
      <c r="A564" s="5" t="str">
        <f t="shared" si="8"/>
        <v/>
      </c>
    </row>
    <row r="565" spans="1:1" x14ac:dyDescent="0.2">
      <c r="A565" s="5" t="str">
        <f t="shared" si="8"/>
        <v/>
      </c>
    </row>
    <row r="566" spans="1:1" x14ac:dyDescent="0.2">
      <c r="A566" s="5" t="str">
        <f t="shared" si="8"/>
        <v/>
      </c>
    </row>
    <row r="567" spans="1:1" x14ac:dyDescent="0.2">
      <c r="A567" s="5" t="str">
        <f t="shared" si="8"/>
        <v/>
      </c>
    </row>
    <row r="568" spans="1:1" x14ac:dyDescent="0.2">
      <c r="A568" s="5" t="str">
        <f t="shared" si="8"/>
        <v/>
      </c>
    </row>
    <row r="569" spans="1:1" x14ac:dyDescent="0.2">
      <c r="A569" s="5" t="str">
        <f t="shared" si="8"/>
        <v/>
      </c>
    </row>
    <row r="570" spans="1:1" x14ac:dyDescent="0.2">
      <c r="A570" s="5" t="str">
        <f t="shared" si="8"/>
        <v/>
      </c>
    </row>
    <row r="571" spans="1:1" x14ac:dyDescent="0.2">
      <c r="A571" s="5" t="str">
        <f t="shared" si="8"/>
        <v/>
      </c>
    </row>
    <row r="572" spans="1:1" x14ac:dyDescent="0.2">
      <c r="A572" s="5" t="str">
        <f t="shared" si="8"/>
        <v/>
      </c>
    </row>
    <row r="573" spans="1:1" x14ac:dyDescent="0.2">
      <c r="A573" s="5" t="str">
        <f t="shared" si="8"/>
        <v/>
      </c>
    </row>
    <row r="574" spans="1:1" x14ac:dyDescent="0.2">
      <c r="A574" s="5" t="str">
        <f t="shared" si="8"/>
        <v/>
      </c>
    </row>
    <row r="575" spans="1:1" x14ac:dyDescent="0.2">
      <c r="A575" s="5" t="str">
        <f t="shared" si="8"/>
        <v/>
      </c>
    </row>
    <row r="576" spans="1:1" x14ac:dyDescent="0.2">
      <c r="A576" s="5" t="str">
        <f t="shared" si="8"/>
        <v/>
      </c>
    </row>
    <row r="577" spans="1:1" x14ac:dyDescent="0.2">
      <c r="A577" s="5" t="str">
        <f t="shared" si="8"/>
        <v/>
      </c>
    </row>
    <row r="578" spans="1:1" x14ac:dyDescent="0.2">
      <c r="A578" s="5" t="str">
        <f t="shared" si="8"/>
        <v/>
      </c>
    </row>
    <row r="579" spans="1:1" x14ac:dyDescent="0.2">
      <c r="A579" s="5" t="str">
        <f t="shared" si="8"/>
        <v/>
      </c>
    </row>
    <row r="580" spans="1:1" x14ac:dyDescent="0.2">
      <c r="A580" s="5" t="str">
        <f t="shared" ref="A580:A643" si="9">IF(AND(B579&lt;&gt;"",B580=""),$A$2&amp;"---&gt;","")</f>
        <v/>
      </c>
    </row>
    <row r="581" spans="1:1" x14ac:dyDescent="0.2">
      <c r="A581" s="5" t="str">
        <f t="shared" si="9"/>
        <v/>
      </c>
    </row>
    <row r="582" spans="1:1" x14ac:dyDescent="0.2">
      <c r="A582" s="5" t="str">
        <f t="shared" si="9"/>
        <v/>
      </c>
    </row>
    <row r="583" spans="1:1" x14ac:dyDescent="0.2">
      <c r="A583" s="5" t="str">
        <f t="shared" si="9"/>
        <v/>
      </c>
    </row>
    <row r="584" spans="1:1" x14ac:dyDescent="0.2">
      <c r="A584" s="5" t="str">
        <f t="shared" si="9"/>
        <v/>
      </c>
    </row>
    <row r="585" spans="1:1" x14ac:dyDescent="0.2">
      <c r="A585" s="5" t="str">
        <f t="shared" si="9"/>
        <v/>
      </c>
    </row>
    <row r="586" spans="1:1" x14ac:dyDescent="0.2">
      <c r="A586" s="5" t="str">
        <f t="shared" si="9"/>
        <v/>
      </c>
    </row>
    <row r="587" spans="1:1" x14ac:dyDescent="0.2">
      <c r="A587" s="5" t="str">
        <f t="shared" si="9"/>
        <v/>
      </c>
    </row>
    <row r="588" spans="1:1" x14ac:dyDescent="0.2">
      <c r="A588" s="5" t="str">
        <f t="shared" si="9"/>
        <v/>
      </c>
    </row>
    <row r="589" spans="1:1" x14ac:dyDescent="0.2">
      <c r="A589" s="5" t="str">
        <f t="shared" si="9"/>
        <v/>
      </c>
    </row>
    <row r="590" spans="1:1" x14ac:dyDescent="0.2">
      <c r="A590" s="5" t="str">
        <f t="shared" si="9"/>
        <v/>
      </c>
    </row>
    <row r="591" spans="1:1" x14ac:dyDescent="0.2">
      <c r="A591" s="5" t="str">
        <f t="shared" si="9"/>
        <v/>
      </c>
    </row>
    <row r="592" spans="1:1" x14ac:dyDescent="0.2">
      <c r="A592" s="5" t="str">
        <f t="shared" si="9"/>
        <v/>
      </c>
    </row>
    <row r="593" spans="1:1" x14ac:dyDescent="0.2">
      <c r="A593" s="5" t="str">
        <f t="shared" si="9"/>
        <v/>
      </c>
    </row>
    <row r="594" spans="1:1" x14ac:dyDescent="0.2">
      <c r="A594" s="5" t="str">
        <f t="shared" si="9"/>
        <v/>
      </c>
    </row>
    <row r="595" spans="1:1" x14ac:dyDescent="0.2">
      <c r="A595" s="5" t="str">
        <f t="shared" si="9"/>
        <v/>
      </c>
    </row>
    <row r="596" spans="1:1" x14ac:dyDescent="0.2">
      <c r="A596" s="5" t="str">
        <f t="shared" si="9"/>
        <v/>
      </c>
    </row>
    <row r="597" spans="1:1" x14ac:dyDescent="0.2">
      <c r="A597" s="5" t="str">
        <f t="shared" si="9"/>
        <v/>
      </c>
    </row>
    <row r="598" spans="1:1" x14ac:dyDescent="0.2">
      <c r="A598" s="5" t="str">
        <f t="shared" si="9"/>
        <v/>
      </c>
    </row>
    <row r="599" spans="1:1" x14ac:dyDescent="0.2">
      <c r="A599" s="5" t="str">
        <f t="shared" si="9"/>
        <v/>
      </c>
    </row>
    <row r="600" spans="1:1" x14ac:dyDescent="0.2">
      <c r="A600" s="5" t="str">
        <f t="shared" si="9"/>
        <v/>
      </c>
    </row>
    <row r="601" spans="1:1" x14ac:dyDescent="0.2">
      <c r="A601" s="5" t="str">
        <f t="shared" si="9"/>
        <v/>
      </c>
    </row>
    <row r="602" spans="1:1" x14ac:dyDescent="0.2">
      <c r="A602" s="5" t="str">
        <f t="shared" si="9"/>
        <v/>
      </c>
    </row>
    <row r="603" spans="1:1" x14ac:dyDescent="0.2">
      <c r="A603" s="5" t="str">
        <f t="shared" si="9"/>
        <v/>
      </c>
    </row>
    <row r="604" spans="1:1" x14ac:dyDescent="0.2">
      <c r="A604" s="5" t="str">
        <f t="shared" si="9"/>
        <v/>
      </c>
    </row>
    <row r="605" spans="1:1" x14ac:dyDescent="0.2">
      <c r="A605" s="5" t="str">
        <f t="shared" si="9"/>
        <v/>
      </c>
    </row>
    <row r="606" spans="1:1" x14ac:dyDescent="0.2">
      <c r="A606" s="5" t="str">
        <f t="shared" si="9"/>
        <v/>
      </c>
    </row>
    <row r="607" spans="1:1" x14ac:dyDescent="0.2">
      <c r="A607" s="5" t="str">
        <f t="shared" si="9"/>
        <v/>
      </c>
    </row>
    <row r="608" spans="1:1" x14ac:dyDescent="0.2">
      <c r="A608" s="5" t="str">
        <f t="shared" si="9"/>
        <v/>
      </c>
    </row>
    <row r="609" spans="1:1" x14ac:dyDescent="0.2">
      <c r="A609" s="5" t="str">
        <f t="shared" si="9"/>
        <v/>
      </c>
    </row>
    <row r="610" spans="1:1" x14ac:dyDescent="0.2">
      <c r="A610" s="5" t="str">
        <f t="shared" si="9"/>
        <v/>
      </c>
    </row>
    <row r="611" spans="1:1" x14ac:dyDescent="0.2">
      <c r="A611" s="5" t="str">
        <f t="shared" si="9"/>
        <v/>
      </c>
    </row>
    <row r="612" spans="1:1" x14ac:dyDescent="0.2">
      <c r="A612" s="5" t="str">
        <f t="shared" si="9"/>
        <v/>
      </c>
    </row>
    <row r="613" spans="1:1" x14ac:dyDescent="0.2">
      <c r="A613" s="5" t="str">
        <f t="shared" si="9"/>
        <v/>
      </c>
    </row>
    <row r="614" spans="1:1" x14ac:dyDescent="0.2">
      <c r="A614" s="5" t="str">
        <f t="shared" si="9"/>
        <v/>
      </c>
    </row>
    <row r="615" spans="1:1" x14ac:dyDescent="0.2">
      <c r="A615" s="5" t="str">
        <f t="shared" si="9"/>
        <v/>
      </c>
    </row>
    <row r="616" spans="1:1" x14ac:dyDescent="0.2">
      <c r="A616" s="5" t="str">
        <f t="shared" si="9"/>
        <v/>
      </c>
    </row>
    <row r="617" spans="1:1" x14ac:dyDescent="0.2">
      <c r="A617" s="5" t="str">
        <f t="shared" si="9"/>
        <v/>
      </c>
    </row>
    <row r="618" spans="1:1" x14ac:dyDescent="0.2">
      <c r="A618" s="5" t="str">
        <f t="shared" si="9"/>
        <v/>
      </c>
    </row>
    <row r="619" spans="1:1" x14ac:dyDescent="0.2">
      <c r="A619" s="5" t="str">
        <f t="shared" si="9"/>
        <v/>
      </c>
    </row>
    <row r="620" spans="1:1" x14ac:dyDescent="0.2">
      <c r="A620" s="5" t="str">
        <f t="shared" si="9"/>
        <v/>
      </c>
    </row>
    <row r="621" spans="1:1" x14ac:dyDescent="0.2">
      <c r="A621" s="5" t="str">
        <f t="shared" si="9"/>
        <v/>
      </c>
    </row>
    <row r="622" spans="1:1" x14ac:dyDescent="0.2">
      <c r="A622" s="5" t="str">
        <f t="shared" si="9"/>
        <v/>
      </c>
    </row>
    <row r="623" spans="1:1" x14ac:dyDescent="0.2">
      <c r="A623" s="5" t="str">
        <f t="shared" si="9"/>
        <v/>
      </c>
    </row>
    <row r="624" spans="1:1" x14ac:dyDescent="0.2">
      <c r="A624" s="5" t="str">
        <f t="shared" si="9"/>
        <v/>
      </c>
    </row>
    <row r="625" spans="1:1" x14ac:dyDescent="0.2">
      <c r="A625" s="5" t="str">
        <f t="shared" si="9"/>
        <v/>
      </c>
    </row>
    <row r="626" spans="1:1" x14ac:dyDescent="0.2">
      <c r="A626" s="5" t="str">
        <f t="shared" si="9"/>
        <v/>
      </c>
    </row>
    <row r="627" spans="1:1" x14ac:dyDescent="0.2">
      <c r="A627" s="5" t="str">
        <f t="shared" si="9"/>
        <v/>
      </c>
    </row>
    <row r="628" spans="1:1" x14ac:dyDescent="0.2">
      <c r="A628" s="5" t="str">
        <f t="shared" si="9"/>
        <v/>
      </c>
    </row>
    <row r="629" spans="1:1" x14ac:dyDescent="0.2">
      <c r="A629" s="5" t="str">
        <f t="shared" si="9"/>
        <v/>
      </c>
    </row>
    <row r="630" spans="1:1" x14ac:dyDescent="0.2">
      <c r="A630" s="5" t="str">
        <f t="shared" si="9"/>
        <v/>
      </c>
    </row>
    <row r="631" spans="1:1" x14ac:dyDescent="0.2">
      <c r="A631" s="5" t="str">
        <f t="shared" si="9"/>
        <v/>
      </c>
    </row>
    <row r="632" spans="1:1" x14ac:dyDescent="0.2">
      <c r="A632" s="5" t="str">
        <f t="shared" si="9"/>
        <v/>
      </c>
    </row>
    <row r="633" spans="1:1" x14ac:dyDescent="0.2">
      <c r="A633" s="5" t="str">
        <f t="shared" si="9"/>
        <v/>
      </c>
    </row>
    <row r="634" spans="1:1" x14ac:dyDescent="0.2">
      <c r="A634" s="5" t="str">
        <f t="shared" si="9"/>
        <v/>
      </c>
    </row>
    <row r="635" spans="1:1" x14ac:dyDescent="0.2">
      <c r="A635" s="5" t="str">
        <f t="shared" si="9"/>
        <v/>
      </c>
    </row>
    <row r="636" spans="1:1" x14ac:dyDescent="0.2">
      <c r="A636" s="5" t="str">
        <f t="shared" si="9"/>
        <v/>
      </c>
    </row>
    <row r="637" spans="1:1" x14ac:dyDescent="0.2">
      <c r="A637" s="5" t="str">
        <f t="shared" si="9"/>
        <v/>
      </c>
    </row>
    <row r="638" spans="1:1" x14ac:dyDescent="0.2">
      <c r="A638" s="5" t="str">
        <f t="shared" si="9"/>
        <v/>
      </c>
    </row>
    <row r="639" spans="1:1" x14ac:dyDescent="0.2">
      <c r="A639" s="5" t="str">
        <f t="shared" si="9"/>
        <v/>
      </c>
    </row>
    <row r="640" spans="1:1" x14ac:dyDescent="0.2">
      <c r="A640" s="5" t="str">
        <f t="shared" si="9"/>
        <v/>
      </c>
    </row>
    <row r="641" spans="1:1" x14ac:dyDescent="0.2">
      <c r="A641" s="5" t="str">
        <f t="shared" si="9"/>
        <v/>
      </c>
    </row>
    <row r="642" spans="1:1" x14ac:dyDescent="0.2">
      <c r="A642" s="5" t="str">
        <f t="shared" si="9"/>
        <v/>
      </c>
    </row>
    <row r="643" spans="1:1" x14ac:dyDescent="0.2">
      <c r="A643" s="5" t="str">
        <f t="shared" si="9"/>
        <v/>
      </c>
    </row>
    <row r="644" spans="1:1" x14ac:dyDescent="0.2">
      <c r="A644" s="5" t="str">
        <f t="shared" ref="A644:A707" si="10">IF(AND(B643&lt;&gt;"",B644=""),$A$2&amp;"---&gt;","")</f>
        <v/>
      </c>
    </row>
    <row r="645" spans="1:1" x14ac:dyDescent="0.2">
      <c r="A645" s="5" t="str">
        <f t="shared" si="10"/>
        <v/>
      </c>
    </row>
    <row r="646" spans="1:1" x14ac:dyDescent="0.2">
      <c r="A646" s="5" t="str">
        <f t="shared" si="10"/>
        <v/>
      </c>
    </row>
    <row r="647" spans="1:1" x14ac:dyDescent="0.2">
      <c r="A647" s="5" t="str">
        <f t="shared" si="10"/>
        <v/>
      </c>
    </row>
    <row r="648" spans="1:1" x14ac:dyDescent="0.2">
      <c r="A648" s="5" t="str">
        <f t="shared" si="10"/>
        <v/>
      </c>
    </row>
    <row r="649" spans="1:1" x14ac:dyDescent="0.2">
      <c r="A649" s="5" t="str">
        <f t="shared" si="10"/>
        <v/>
      </c>
    </row>
    <row r="650" spans="1:1" x14ac:dyDescent="0.2">
      <c r="A650" s="5" t="str">
        <f t="shared" si="10"/>
        <v/>
      </c>
    </row>
    <row r="651" spans="1:1" x14ac:dyDescent="0.2">
      <c r="A651" s="5" t="str">
        <f t="shared" si="10"/>
        <v/>
      </c>
    </row>
    <row r="652" spans="1:1" x14ac:dyDescent="0.2">
      <c r="A652" s="5" t="str">
        <f t="shared" si="10"/>
        <v/>
      </c>
    </row>
    <row r="653" spans="1:1" x14ac:dyDescent="0.2">
      <c r="A653" s="5" t="str">
        <f t="shared" si="10"/>
        <v/>
      </c>
    </row>
    <row r="654" spans="1:1" x14ac:dyDescent="0.2">
      <c r="A654" s="5" t="str">
        <f t="shared" si="10"/>
        <v/>
      </c>
    </row>
    <row r="655" spans="1:1" x14ac:dyDescent="0.2">
      <c r="A655" s="5" t="str">
        <f t="shared" si="10"/>
        <v/>
      </c>
    </row>
    <row r="656" spans="1:1" x14ac:dyDescent="0.2">
      <c r="A656" s="5" t="str">
        <f t="shared" si="10"/>
        <v/>
      </c>
    </row>
    <row r="657" spans="1:1" x14ac:dyDescent="0.2">
      <c r="A657" s="5" t="str">
        <f t="shared" si="10"/>
        <v/>
      </c>
    </row>
    <row r="658" spans="1:1" x14ac:dyDescent="0.2">
      <c r="A658" s="5" t="str">
        <f t="shared" si="10"/>
        <v/>
      </c>
    </row>
    <row r="659" spans="1:1" x14ac:dyDescent="0.2">
      <c r="A659" s="5" t="str">
        <f t="shared" si="10"/>
        <v/>
      </c>
    </row>
    <row r="660" spans="1:1" x14ac:dyDescent="0.2">
      <c r="A660" s="5" t="str">
        <f t="shared" si="10"/>
        <v/>
      </c>
    </row>
    <row r="661" spans="1:1" x14ac:dyDescent="0.2">
      <c r="A661" s="5" t="str">
        <f t="shared" si="10"/>
        <v/>
      </c>
    </row>
    <row r="662" spans="1:1" x14ac:dyDescent="0.2">
      <c r="A662" s="5" t="str">
        <f t="shared" si="10"/>
        <v/>
      </c>
    </row>
    <row r="663" spans="1:1" x14ac:dyDescent="0.2">
      <c r="A663" s="5" t="str">
        <f t="shared" si="10"/>
        <v/>
      </c>
    </row>
    <row r="664" spans="1:1" x14ac:dyDescent="0.2">
      <c r="A664" s="5" t="str">
        <f t="shared" si="10"/>
        <v/>
      </c>
    </row>
    <row r="665" spans="1:1" x14ac:dyDescent="0.2">
      <c r="A665" s="5" t="str">
        <f t="shared" si="10"/>
        <v/>
      </c>
    </row>
    <row r="666" spans="1:1" x14ac:dyDescent="0.2">
      <c r="A666" s="5" t="str">
        <f t="shared" si="10"/>
        <v/>
      </c>
    </row>
    <row r="667" spans="1:1" x14ac:dyDescent="0.2">
      <c r="A667" s="5" t="str">
        <f t="shared" si="10"/>
        <v/>
      </c>
    </row>
    <row r="668" spans="1:1" x14ac:dyDescent="0.2">
      <c r="A668" s="5" t="str">
        <f t="shared" si="10"/>
        <v/>
      </c>
    </row>
    <row r="669" spans="1:1" x14ac:dyDescent="0.2">
      <c r="A669" s="5" t="str">
        <f t="shared" si="10"/>
        <v/>
      </c>
    </row>
    <row r="670" spans="1:1" x14ac:dyDescent="0.2">
      <c r="A670" s="5" t="str">
        <f t="shared" si="10"/>
        <v/>
      </c>
    </row>
    <row r="671" spans="1:1" x14ac:dyDescent="0.2">
      <c r="A671" s="5" t="str">
        <f t="shared" si="10"/>
        <v/>
      </c>
    </row>
    <row r="672" spans="1:1" x14ac:dyDescent="0.2">
      <c r="A672" s="5" t="str">
        <f t="shared" si="10"/>
        <v/>
      </c>
    </row>
    <row r="673" spans="1:1" x14ac:dyDescent="0.2">
      <c r="A673" s="5" t="str">
        <f t="shared" si="10"/>
        <v/>
      </c>
    </row>
    <row r="674" spans="1:1" x14ac:dyDescent="0.2">
      <c r="A674" s="5" t="str">
        <f t="shared" si="10"/>
        <v/>
      </c>
    </row>
    <row r="675" spans="1:1" x14ac:dyDescent="0.2">
      <c r="A675" s="5" t="str">
        <f t="shared" si="10"/>
        <v/>
      </c>
    </row>
    <row r="676" spans="1:1" x14ac:dyDescent="0.2">
      <c r="A676" s="5" t="str">
        <f t="shared" si="10"/>
        <v/>
      </c>
    </row>
    <row r="677" spans="1:1" x14ac:dyDescent="0.2">
      <c r="A677" s="5" t="str">
        <f t="shared" si="10"/>
        <v/>
      </c>
    </row>
    <row r="678" spans="1:1" x14ac:dyDescent="0.2">
      <c r="A678" s="5" t="str">
        <f t="shared" si="10"/>
        <v/>
      </c>
    </row>
    <row r="679" spans="1:1" x14ac:dyDescent="0.2">
      <c r="A679" s="5" t="str">
        <f t="shared" si="10"/>
        <v/>
      </c>
    </row>
    <row r="680" spans="1:1" x14ac:dyDescent="0.2">
      <c r="A680" s="5" t="str">
        <f t="shared" si="10"/>
        <v/>
      </c>
    </row>
    <row r="681" spans="1:1" x14ac:dyDescent="0.2">
      <c r="A681" s="5" t="str">
        <f t="shared" si="10"/>
        <v/>
      </c>
    </row>
    <row r="682" spans="1:1" x14ac:dyDescent="0.2">
      <c r="A682" s="5" t="str">
        <f t="shared" si="10"/>
        <v/>
      </c>
    </row>
    <row r="683" spans="1:1" x14ac:dyDescent="0.2">
      <c r="A683" s="5" t="str">
        <f t="shared" si="10"/>
        <v/>
      </c>
    </row>
    <row r="684" spans="1:1" x14ac:dyDescent="0.2">
      <c r="A684" s="5" t="str">
        <f t="shared" si="10"/>
        <v/>
      </c>
    </row>
    <row r="685" spans="1:1" x14ac:dyDescent="0.2">
      <c r="A685" s="5" t="str">
        <f t="shared" si="10"/>
        <v/>
      </c>
    </row>
    <row r="686" spans="1:1" x14ac:dyDescent="0.2">
      <c r="A686" s="5" t="str">
        <f t="shared" si="10"/>
        <v/>
      </c>
    </row>
    <row r="687" spans="1:1" x14ac:dyDescent="0.2">
      <c r="A687" s="5" t="str">
        <f t="shared" si="10"/>
        <v/>
      </c>
    </row>
    <row r="688" spans="1:1" x14ac:dyDescent="0.2">
      <c r="A688" s="5" t="str">
        <f t="shared" si="10"/>
        <v/>
      </c>
    </row>
    <row r="689" spans="1:1" x14ac:dyDescent="0.2">
      <c r="A689" s="5" t="str">
        <f t="shared" si="10"/>
        <v/>
      </c>
    </row>
    <row r="690" spans="1:1" x14ac:dyDescent="0.2">
      <c r="A690" s="5" t="str">
        <f t="shared" si="10"/>
        <v/>
      </c>
    </row>
    <row r="691" spans="1:1" x14ac:dyDescent="0.2">
      <c r="A691" s="5" t="str">
        <f t="shared" si="10"/>
        <v/>
      </c>
    </row>
    <row r="692" spans="1:1" x14ac:dyDescent="0.2">
      <c r="A692" s="5" t="str">
        <f t="shared" si="10"/>
        <v/>
      </c>
    </row>
    <row r="693" spans="1:1" x14ac:dyDescent="0.2">
      <c r="A693" s="5" t="str">
        <f t="shared" si="10"/>
        <v/>
      </c>
    </row>
    <row r="694" spans="1:1" x14ac:dyDescent="0.2">
      <c r="A694" s="5" t="str">
        <f t="shared" si="10"/>
        <v/>
      </c>
    </row>
    <row r="695" spans="1:1" x14ac:dyDescent="0.2">
      <c r="A695" s="5" t="str">
        <f t="shared" si="10"/>
        <v/>
      </c>
    </row>
    <row r="696" spans="1:1" x14ac:dyDescent="0.2">
      <c r="A696" s="5" t="str">
        <f t="shared" si="10"/>
        <v/>
      </c>
    </row>
    <row r="697" spans="1:1" x14ac:dyDescent="0.2">
      <c r="A697" s="5" t="str">
        <f t="shared" si="10"/>
        <v/>
      </c>
    </row>
    <row r="698" spans="1:1" x14ac:dyDescent="0.2">
      <c r="A698" s="5" t="str">
        <f t="shared" si="10"/>
        <v/>
      </c>
    </row>
    <row r="699" spans="1:1" x14ac:dyDescent="0.2">
      <c r="A699" s="5" t="str">
        <f t="shared" si="10"/>
        <v/>
      </c>
    </row>
    <row r="700" spans="1:1" x14ac:dyDescent="0.2">
      <c r="A700" s="5" t="str">
        <f t="shared" si="10"/>
        <v/>
      </c>
    </row>
    <row r="701" spans="1:1" x14ac:dyDescent="0.2">
      <c r="A701" s="5" t="str">
        <f t="shared" si="10"/>
        <v/>
      </c>
    </row>
    <row r="702" spans="1:1" x14ac:dyDescent="0.2">
      <c r="A702" s="5" t="str">
        <f t="shared" si="10"/>
        <v/>
      </c>
    </row>
    <row r="703" spans="1:1" x14ac:dyDescent="0.2">
      <c r="A703" s="5" t="str">
        <f t="shared" si="10"/>
        <v/>
      </c>
    </row>
    <row r="704" spans="1:1" x14ac:dyDescent="0.2">
      <c r="A704" s="5" t="str">
        <f t="shared" si="10"/>
        <v/>
      </c>
    </row>
    <row r="705" spans="1:1" x14ac:dyDescent="0.2">
      <c r="A705" s="5" t="str">
        <f t="shared" si="10"/>
        <v/>
      </c>
    </row>
    <row r="706" spans="1:1" x14ac:dyDescent="0.2">
      <c r="A706" s="5" t="str">
        <f t="shared" si="10"/>
        <v/>
      </c>
    </row>
    <row r="707" spans="1:1" x14ac:dyDescent="0.2">
      <c r="A707" s="5" t="str">
        <f t="shared" si="10"/>
        <v/>
      </c>
    </row>
    <row r="708" spans="1:1" x14ac:dyDescent="0.2">
      <c r="A708" s="5" t="str">
        <f t="shared" ref="A708:A771" si="11">IF(AND(B707&lt;&gt;"",B708=""),$A$2&amp;"---&gt;","")</f>
        <v/>
      </c>
    </row>
    <row r="709" spans="1:1" x14ac:dyDescent="0.2">
      <c r="A709" s="5" t="str">
        <f t="shared" si="11"/>
        <v/>
      </c>
    </row>
    <row r="710" spans="1:1" x14ac:dyDescent="0.2">
      <c r="A710" s="5" t="str">
        <f t="shared" si="11"/>
        <v/>
      </c>
    </row>
    <row r="711" spans="1:1" x14ac:dyDescent="0.2">
      <c r="A711" s="5" t="str">
        <f t="shared" si="11"/>
        <v/>
      </c>
    </row>
    <row r="712" spans="1:1" x14ac:dyDescent="0.2">
      <c r="A712" s="5" t="str">
        <f t="shared" si="11"/>
        <v/>
      </c>
    </row>
    <row r="713" spans="1:1" x14ac:dyDescent="0.2">
      <c r="A713" s="5" t="str">
        <f t="shared" si="11"/>
        <v/>
      </c>
    </row>
    <row r="714" spans="1:1" x14ac:dyDescent="0.2">
      <c r="A714" s="5" t="str">
        <f t="shared" si="11"/>
        <v/>
      </c>
    </row>
    <row r="715" spans="1:1" x14ac:dyDescent="0.2">
      <c r="A715" s="5" t="str">
        <f t="shared" si="11"/>
        <v/>
      </c>
    </row>
    <row r="716" spans="1:1" x14ac:dyDescent="0.2">
      <c r="A716" s="5" t="str">
        <f t="shared" si="11"/>
        <v/>
      </c>
    </row>
    <row r="717" spans="1:1" x14ac:dyDescent="0.2">
      <c r="A717" s="5" t="str">
        <f t="shared" si="11"/>
        <v/>
      </c>
    </row>
    <row r="718" spans="1:1" x14ac:dyDescent="0.2">
      <c r="A718" s="5" t="str">
        <f t="shared" si="11"/>
        <v/>
      </c>
    </row>
    <row r="719" spans="1:1" x14ac:dyDescent="0.2">
      <c r="A719" s="5" t="str">
        <f t="shared" si="11"/>
        <v/>
      </c>
    </row>
    <row r="720" spans="1:1" x14ac:dyDescent="0.2">
      <c r="A720" s="5" t="str">
        <f t="shared" si="11"/>
        <v/>
      </c>
    </row>
    <row r="721" spans="1:1" x14ac:dyDescent="0.2">
      <c r="A721" s="5" t="str">
        <f t="shared" si="11"/>
        <v/>
      </c>
    </row>
    <row r="722" spans="1:1" x14ac:dyDescent="0.2">
      <c r="A722" s="5" t="str">
        <f t="shared" si="11"/>
        <v/>
      </c>
    </row>
    <row r="723" spans="1:1" x14ac:dyDescent="0.2">
      <c r="A723" s="5" t="str">
        <f t="shared" si="11"/>
        <v/>
      </c>
    </row>
    <row r="724" spans="1:1" x14ac:dyDescent="0.2">
      <c r="A724" s="5" t="str">
        <f t="shared" si="11"/>
        <v/>
      </c>
    </row>
    <row r="725" spans="1:1" x14ac:dyDescent="0.2">
      <c r="A725" s="5" t="str">
        <f t="shared" si="11"/>
        <v/>
      </c>
    </row>
    <row r="726" spans="1:1" x14ac:dyDescent="0.2">
      <c r="A726" s="5" t="str">
        <f t="shared" si="11"/>
        <v/>
      </c>
    </row>
    <row r="727" spans="1:1" x14ac:dyDescent="0.2">
      <c r="A727" s="5" t="str">
        <f t="shared" si="11"/>
        <v/>
      </c>
    </row>
    <row r="728" spans="1:1" x14ac:dyDescent="0.2">
      <c r="A728" s="5" t="str">
        <f t="shared" si="11"/>
        <v/>
      </c>
    </row>
    <row r="729" spans="1:1" x14ac:dyDescent="0.2">
      <c r="A729" s="5" t="str">
        <f t="shared" si="11"/>
        <v/>
      </c>
    </row>
    <row r="730" spans="1:1" x14ac:dyDescent="0.2">
      <c r="A730" s="5" t="str">
        <f t="shared" si="11"/>
        <v/>
      </c>
    </row>
    <row r="731" spans="1:1" x14ac:dyDescent="0.2">
      <c r="A731" s="5" t="str">
        <f t="shared" si="11"/>
        <v/>
      </c>
    </row>
    <row r="732" spans="1:1" x14ac:dyDescent="0.2">
      <c r="A732" s="5" t="str">
        <f t="shared" si="11"/>
        <v/>
      </c>
    </row>
    <row r="733" spans="1:1" x14ac:dyDescent="0.2">
      <c r="A733" s="5" t="str">
        <f t="shared" si="11"/>
        <v/>
      </c>
    </row>
    <row r="734" spans="1:1" x14ac:dyDescent="0.2">
      <c r="A734" s="5" t="str">
        <f t="shared" si="11"/>
        <v/>
      </c>
    </row>
    <row r="735" spans="1:1" x14ac:dyDescent="0.2">
      <c r="A735" s="5" t="str">
        <f t="shared" si="11"/>
        <v/>
      </c>
    </row>
    <row r="736" spans="1:1" x14ac:dyDescent="0.2">
      <c r="A736" s="5" t="str">
        <f t="shared" si="11"/>
        <v/>
      </c>
    </row>
    <row r="737" spans="1:1" x14ac:dyDescent="0.2">
      <c r="A737" s="5" t="str">
        <f t="shared" si="11"/>
        <v/>
      </c>
    </row>
    <row r="738" spans="1:1" x14ac:dyDescent="0.2">
      <c r="A738" s="5" t="str">
        <f t="shared" si="11"/>
        <v/>
      </c>
    </row>
    <row r="739" spans="1:1" x14ac:dyDescent="0.2">
      <c r="A739" s="5" t="str">
        <f t="shared" si="11"/>
        <v/>
      </c>
    </row>
    <row r="740" spans="1:1" x14ac:dyDescent="0.2">
      <c r="A740" s="5" t="str">
        <f t="shared" si="11"/>
        <v/>
      </c>
    </row>
    <row r="741" spans="1:1" x14ac:dyDescent="0.2">
      <c r="A741" s="5" t="str">
        <f t="shared" si="11"/>
        <v/>
      </c>
    </row>
    <row r="742" spans="1:1" x14ac:dyDescent="0.2">
      <c r="A742" s="5" t="str">
        <f t="shared" si="11"/>
        <v/>
      </c>
    </row>
    <row r="743" spans="1:1" x14ac:dyDescent="0.2">
      <c r="A743" s="5" t="str">
        <f t="shared" si="11"/>
        <v/>
      </c>
    </row>
    <row r="744" spans="1:1" x14ac:dyDescent="0.2">
      <c r="A744" s="5" t="str">
        <f t="shared" si="11"/>
        <v/>
      </c>
    </row>
    <row r="745" spans="1:1" x14ac:dyDescent="0.2">
      <c r="A745" s="5" t="str">
        <f t="shared" si="11"/>
        <v/>
      </c>
    </row>
    <row r="746" spans="1:1" x14ac:dyDescent="0.2">
      <c r="A746" s="5" t="str">
        <f t="shared" si="11"/>
        <v/>
      </c>
    </row>
    <row r="747" spans="1:1" x14ac:dyDescent="0.2">
      <c r="A747" s="5" t="str">
        <f t="shared" si="11"/>
        <v/>
      </c>
    </row>
    <row r="748" spans="1:1" x14ac:dyDescent="0.2">
      <c r="A748" s="5" t="str">
        <f t="shared" si="11"/>
        <v/>
      </c>
    </row>
    <row r="749" spans="1:1" x14ac:dyDescent="0.2">
      <c r="A749" s="5" t="str">
        <f t="shared" si="11"/>
        <v/>
      </c>
    </row>
    <row r="750" spans="1:1" x14ac:dyDescent="0.2">
      <c r="A750" s="5" t="str">
        <f t="shared" si="11"/>
        <v/>
      </c>
    </row>
    <row r="751" spans="1:1" x14ac:dyDescent="0.2">
      <c r="A751" s="5" t="str">
        <f t="shared" si="11"/>
        <v/>
      </c>
    </row>
    <row r="752" spans="1:1" x14ac:dyDescent="0.2">
      <c r="A752" s="5" t="str">
        <f t="shared" si="11"/>
        <v/>
      </c>
    </row>
    <row r="753" spans="1:1" x14ac:dyDescent="0.2">
      <c r="A753" s="5" t="str">
        <f t="shared" si="11"/>
        <v/>
      </c>
    </row>
    <row r="754" spans="1:1" x14ac:dyDescent="0.2">
      <c r="A754" s="5" t="str">
        <f t="shared" si="11"/>
        <v/>
      </c>
    </row>
    <row r="755" spans="1:1" x14ac:dyDescent="0.2">
      <c r="A755" s="5" t="str">
        <f t="shared" si="11"/>
        <v/>
      </c>
    </row>
    <row r="756" spans="1:1" x14ac:dyDescent="0.2">
      <c r="A756" s="5" t="str">
        <f t="shared" si="11"/>
        <v/>
      </c>
    </row>
    <row r="757" spans="1:1" x14ac:dyDescent="0.2">
      <c r="A757" s="5" t="str">
        <f t="shared" si="11"/>
        <v/>
      </c>
    </row>
    <row r="758" spans="1:1" x14ac:dyDescent="0.2">
      <c r="A758" s="5" t="str">
        <f t="shared" si="11"/>
        <v/>
      </c>
    </row>
    <row r="759" spans="1:1" x14ac:dyDescent="0.2">
      <c r="A759" s="5" t="str">
        <f t="shared" si="11"/>
        <v/>
      </c>
    </row>
    <row r="760" spans="1:1" x14ac:dyDescent="0.2">
      <c r="A760" s="5" t="str">
        <f t="shared" si="11"/>
        <v/>
      </c>
    </row>
    <row r="761" spans="1:1" x14ac:dyDescent="0.2">
      <c r="A761" s="5" t="str">
        <f t="shared" si="11"/>
        <v/>
      </c>
    </row>
    <row r="762" spans="1:1" x14ac:dyDescent="0.2">
      <c r="A762" s="5" t="str">
        <f t="shared" si="11"/>
        <v/>
      </c>
    </row>
    <row r="763" spans="1:1" x14ac:dyDescent="0.2">
      <c r="A763" s="5" t="str">
        <f t="shared" si="11"/>
        <v/>
      </c>
    </row>
    <row r="764" spans="1:1" x14ac:dyDescent="0.2">
      <c r="A764" s="5" t="str">
        <f t="shared" si="11"/>
        <v/>
      </c>
    </row>
    <row r="765" spans="1:1" x14ac:dyDescent="0.2">
      <c r="A765" s="5" t="str">
        <f t="shared" si="11"/>
        <v/>
      </c>
    </row>
    <row r="766" spans="1:1" x14ac:dyDescent="0.2">
      <c r="A766" s="5" t="str">
        <f t="shared" si="11"/>
        <v/>
      </c>
    </row>
    <row r="767" spans="1:1" x14ac:dyDescent="0.2">
      <c r="A767" s="5" t="str">
        <f t="shared" si="11"/>
        <v/>
      </c>
    </row>
    <row r="768" spans="1:1" x14ac:dyDescent="0.2">
      <c r="A768" s="5" t="str">
        <f t="shared" si="11"/>
        <v/>
      </c>
    </row>
    <row r="769" spans="1:1" x14ac:dyDescent="0.2">
      <c r="A769" s="5" t="str">
        <f t="shared" si="11"/>
        <v/>
      </c>
    </row>
    <row r="770" spans="1:1" x14ac:dyDescent="0.2">
      <c r="A770" s="5" t="str">
        <f t="shared" si="11"/>
        <v/>
      </c>
    </row>
    <row r="771" spans="1:1" x14ac:dyDescent="0.2">
      <c r="A771" s="5" t="str">
        <f t="shared" si="11"/>
        <v/>
      </c>
    </row>
    <row r="772" spans="1:1" x14ac:dyDescent="0.2">
      <c r="A772" s="5" t="str">
        <f t="shared" ref="A772:A835" si="12">IF(AND(B771&lt;&gt;"",B772=""),$A$2&amp;"---&gt;","")</f>
        <v/>
      </c>
    </row>
    <row r="773" spans="1:1" x14ac:dyDescent="0.2">
      <c r="A773" s="5" t="str">
        <f t="shared" si="12"/>
        <v/>
      </c>
    </row>
    <row r="774" spans="1:1" x14ac:dyDescent="0.2">
      <c r="A774" s="5" t="str">
        <f t="shared" si="12"/>
        <v/>
      </c>
    </row>
    <row r="775" spans="1:1" x14ac:dyDescent="0.2">
      <c r="A775" s="5" t="str">
        <f t="shared" si="12"/>
        <v/>
      </c>
    </row>
    <row r="776" spans="1:1" x14ac:dyDescent="0.2">
      <c r="A776" s="5" t="str">
        <f t="shared" si="12"/>
        <v/>
      </c>
    </row>
    <row r="777" spans="1:1" x14ac:dyDescent="0.2">
      <c r="A777" s="5" t="str">
        <f t="shared" si="12"/>
        <v/>
      </c>
    </row>
    <row r="778" spans="1:1" x14ac:dyDescent="0.2">
      <c r="A778" s="5" t="str">
        <f t="shared" si="12"/>
        <v/>
      </c>
    </row>
    <row r="779" spans="1:1" x14ac:dyDescent="0.2">
      <c r="A779" s="5" t="str">
        <f t="shared" si="12"/>
        <v/>
      </c>
    </row>
    <row r="780" spans="1:1" x14ac:dyDescent="0.2">
      <c r="A780" s="5" t="str">
        <f t="shared" si="12"/>
        <v/>
      </c>
    </row>
    <row r="781" spans="1:1" x14ac:dyDescent="0.2">
      <c r="A781" s="5" t="str">
        <f t="shared" si="12"/>
        <v/>
      </c>
    </row>
    <row r="782" spans="1:1" x14ac:dyDescent="0.2">
      <c r="A782" s="5" t="str">
        <f t="shared" si="12"/>
        <v/>
      </c>
    </row>
    <row r="783" spans="1:1" x14ac:dyDescent="0.2">
      <c r="A783" s="5" t="str">
        <f t="shared" si="12"/>
        <v/>
      </c>
    </row>
    <row r="784" spans="1:1" x14ac:dyDescent="0.2">
      <c r="A784" s="5" t="str">
        <f t="shared" si="12"/>
        <v/>
      </c>
    </row>
    <row r="785" spans="1:1" x14ac:dyDescent="0.2">
      <c r="A785" s="5" t="str">
        <f t="shared" si="12"/>
        <v/>
      </c>
    </row>
    <row r="786" spans="1:1" x14ac:dyDescent="0.2">
      <c r="A786" s="5" t="str">
        <f t="shared" si="12"/>
        <v/>
      </c>
    </row>
    <row r="787" spans="1:1" x14ac:dyDescent="0.2">
      <c r="A787" s="5" t="str">
        <f t="shared" si="12"/>
        <v/>
      </c>
    </row>
    <row r="788" spans="1:1" x14ac:dyDescent="0.2">
      <c r="A788" s="5" t="str">
        <f t="shared" si="12"/>
        <v/>
      </c>
    </row>
    <row r="789" spans="1:1" x14ac:dyDescent="0.2">
      <c r="A789" s="5" t="str">
        <f t="shared" si="12"/>
        <v/>
      </c>
    </row>
    <row r="790" spans="1:1" x14ac:dyDescent="0.2">
      <c r="A790" s="5" t="str">
        <f t="shared" si="12"/>
        <v/>
      </c>
    </row>
    <row r="791" spans="1:1" x14ac:dyDescent="0.2">
      <c r="A791" s="5" t="str">
        <f t="shared" si="12"/>
        <v/>
      </c>
    </row>
    <row r="792" spans="1:1" x14ac:dyDescent="0.2">
      <c r="A792" s="5" t="str">
        <f t="shared" si="12"/>
        <v/>
      </c>
    </row>
    <row r="793" spans="1:1" x14ac:dyDescent="0.2">
      <c r="A793" s="5" t="str">
        <f t="shared" si="12"/>
        <v/>
      </c>
    </row>
    <row r="794" spans="1:1" x14ac:dyDescent="0.2">
      <c r="A794" s="5" t="str">
        <f t="shared" si="12"/>
        <v/>
      </c>
    </row>
    <row r="795" spans="1:1" x14ac:dyDescent="0.2">
      <c r="A795" s="5" t="str">
        <f t="shared" si="12"/>
        <v/>
      </c>
    </row>
    <row r="796" spans="1:1" x14ac:dyDescent="0.2">
      <c r="A796" s="5" t="str">
        <f t="shared" si="12"/>
        <v/>
      </c>
    </row>
    <row r="797" spans="1:1" x14ac:dyDescent="0.2">
      <c r="A797" s="5" t="str">
        <f t="shared" si="12"/>
        <v/>
      </c>
    </row>
    <row r="798" spans="1:1" x14ac:dyDescent="0.2">
      <c r="A798" s="5" t="str">
        <f t="shared" si="12"/>
        <v/>
      </c>
    </row>
    <row r="799" spans="1:1" x14ac:dyDescent="0.2">
      <c r="A799" s="5" t="str">
        <f t="shared" si="12"/>
        <v/>
      </c>
    </row>
    <row r="800" spans="1:1" x14ac:dyDescent="0.2">
      <c r="A800" s="5" t="str">
        <f t="shared" si="12"/>
        <v/>
      </c>
    </row>
    <row r="801" spans="1:1" x14ac:dyDescent="0.2">
      <c r="A801" s="5" t="str">
        <f t="shared" si="12"/>
        <v/>
      </c>
    </row>
    <row r="802" spans="1:1" x14ac:dyDescent="0.2">
      <c r="A802" s="5" t="str">
        <f t="shared" si="12"/>
        <v/>
      </c>
    </row>
    <row r="803" spans="1:1" x14ac:dyDescent="0.2">
      <c r="A803" s="5" t="str">
        <f t="shared" si="12"/>
        <v/>
      </c>
    </row>
    <row r="804" spans="1:1" x14ac:dyDescent="0.2">
      <c r="A804" s="5" t="str">
        <f t="shared" si="12"/>
        <v/>
      </c>
    </row>
    <row r="805" spans="1:1" x14ac:dyDescent="0.2">
      <c r="A805" s="5" t="str">
        <f t="shared" si="12"/>
        <v/>
      </c>
    </row>
    <row r="806" spans="1:1" x14ac:dyDescent="0.2">
      <c r="A806" s="5" t="str">
        <f t="shared" si="12"/>
        <v/>
      </c>
    </row>
    <row r="807" spans="1:1" x14ac:dyDescent="0.2">
      <c r="A807" s="5" t="str">
        <f t="shared" si="12"/>
        <v/>
      </c>
    </row>
    <row r="808" spans="1:1" x14ac:dyDescent="0.2">
      <c r="A808" s="5" t="str">
        <f t="shared" si="12"/>
        <v/>
      </c>
    </row>
    <row r="809" spans="1:1" x14ac:dyDescent="0.2">
      <c r="A809" s="5" t="str">
        <f t="shared" si="12"/>
        <v/>
      </c>
    </row>
    <row r="810" spans="1:1" x14ac:dyDescent="0.2">
      <c r="A810" s="5" t="str">
        <f t="shared" si="12"/>
        <v/>
      </c>
    </row>
    <row r="811" spans="1:1" x14ac:dyDescent="0.2">
      <c r="A811" s="5" t="str">
        <f t="shared" si="12"/>
        <v/>
      </c>
    </row>
    <row r="812" spans="1:1" x14ac:dyDescent="0.2">
      <c r="A812" s="5" t="str">
        <f t="shared" si="12"/>
        <v/>
      </c>
    </row>
    <row r="813" spans="1:1" x14ac:dyDescent="0.2">
      <c r="A813" s="5" t="str">
        <f t="shared" si="12"/>
        <v/>
      </c>
    </row>
    <row r="814" spans="1:1" x14ac:dyDescent="0.2">
      <c r="A814" s="5" t="str">
        <f t="shared" si="12"/>
        <v/>
      </c>
    </row>
    <row r="815" spans="1:1" x14ac:dyDescent="0.2">
      <c r="A815" s="5" t="str">
        <f t="shared" si="12"/>
        <v/>
      </c>
    </row>
    <row r="816" spans="1:1" x14ac:dyDescent="0.2">
      <c r="A816" s="5" t="str">
        <f t="shared" si="12"/>
        <v/>
      </c>
    </row>
    <row r="817" spans="1:1" x14ac:dyDescent="0.2">
      <c r="A817" s="5" t="str">
        <f t="shared" si="12"/>
        <v/>
      </c>
    </row>
    <row r="818" spans="1:1" x14ac:dyDescent="0.2">
      <c r="A818" s="5" t="str">
        <f t="shared" si="12"/>
        <v/>
      </c>
    </row>
    <row r="819" spans="1:1" x14ac:dyDescent="0.2">
      <c r="A819" s="5" t="str">
        <f t="shared" si="12"/>
        <v/>
      </c>
    </row>
    <row r="820" spans="1:1" x14ac:dyDescent="0.2">
      <c r="A820" s="5" t="str">
        <f t="shared" si="12"/>
        <v/>
      </c>
    </row>
    <row r="821" spans="1:1" x14ac:dyDescent="0.2">
      <c r="A821" s="5" t="str">
        <f t="shared" si="12"/>
        <v/>
      </c>
    </row>
    <row r="822" spans="1:1" x14ac:dyDescent="0.2">
      <c r="A822" s="5" t="str">
        <f t="shared" si="12"/>
        <v/>
      </c>
    </row>
    <row r="823" spans="1:1" x14ac:dyDescent="0.2">
      <c r="A823" s="5" t="str">
        <f t="shared" si="12"/>
        <v/>
      </c>
    </row>
    <row r="824" spans="1:1" x14ac:dyDescent="0.2">
      <c r="A824" s="5" t="str">
        <f t="shared" si="12"/>
        <v/>
      </c>
    </row>
    <row r="825" spans="1:1" x14ac:dyDescent="0.2">
      <c r="A825" s="5" t="str">
        <f t="shared" si="12"/>
        <v/>
      </c>
    </row>
    <row r="826" spans="1:1" x14ac:dyDescent="0.2">
      <c r="A826" s="5" t="str">
        <f t="shared" si="12"/>
        <v/>
      </c>
    </row>
    <row r="827" spans="1:1" x14ac:dyDescent="0.2">
      <c r="A827" s="5" t="str">
        <f t="shared" si="12"/>
        <v/>
      </c>
    </row>
    <row r="828" spans="1:1" x14ac:dyDescent="0.2">
      <c r="A828" s="5" t="str">
        <f t="shared" si="12"/>
        <v/>
      </c>
    </row>
    <row r="829" spans="1:1" x14ac:dyDescent="0.2">
      <c r="A829" s="5" t="str">
        <f t="shared" si="12"/>
        <v/>
      </c>
    </row>
    <row r="830" spans="1:1" x14ac:dyDescent="0.2">
      <c r="A830" s="5" t="str">
        <f t="shared" si="12"/>
        <v/>
      </c>
    </row>
    <row r="831" spans="1:1" x14ac:dyDescent="0.2">
      <c r="A831" s="5" t="str">
        <f t="shared" si="12"/>
        <v/>
      </c>
    </row>
    <row r="832" spans="1:1" x14ac:dyDescent="0.2">
      <c r="A832" s="5" t="str">
        <f t="shared" si="12"/>
        <v/>
      </c>
    </row>
    <row r="833" spans="1:1" x14ac:dyDescent="0.2">
      <c r="A833" s="5" t="str">
        <f t="shared" si="12"/>
        <v/>
      </c>
    </row>
    <row r="834" spans="1:1" x14ac:dyDescent="0.2">
      <c r="A834" s="5" t="str">
        <f t="shared" si="12"/>
        <v/>
      </c>
    </row>
    <row r="835" spans="1:1" x14ac:dyDescent="0.2">
      <c r="A835" s="5" t="str">
        <f t="shared" si="12"/>
        <v/>
      </c>
    </row>
    <row r="836" spans="1:1" x14ac:dyDescent="0.2">
      <c r="A836" s="5" t="str">
        <f t="shared" ref="A836:A899" si="13">IF(AND(B835&lt;&gt;"",B836=""),$A$2&amp;"---&gt;","")</f>
        <v/>
      </c>
    </row>
    <row r="837" spans="1:1" x14ac:dyDescent="0.2">
      <c r="A837" s="5" t="str">
        <f t="shared" si="13"/>
        <v/>
      </c>
    </row>
    <row r="838" spans="1:1" x14ac:dyDescent="0.2">
      <c r="A838" s="5" t="str">
        <f t="shared" si="13"/>
        <v/>
      </c>
    </row>
    <row r="839" spans="1:1" x14ac:dyDescent="0.2">
      <c r="A839" s="5" t="str">
        <f t="shared" si="13"/>
        <v/>
      </c>
    </row>
    <row r="840" spans="1:1" x14ac:dyDescent="0.2">
      <c r="A840" s="5" t="str">
        <f t="shared" si="13"/>
        <v/>
      </c>
    </row>
    <row r="841" spans="1:1" x14ac:dyDescent="0.2">
      <c r="A841" s="5" t="str">
        <f t="shared" si="13"/>
        <v/>
      </c>
    </row>
    <row r="842" spans="1:1" x14ac:dyDescent="0.2">
      <c r="A842" s="5" t="str">
        <f t="shared" si="13"/>
        <v/>
      </c>
    </row>
    <row r="843" spans="1:1" x14ac:dyDescent="0.2">
      <c r="A843" s="5" t="str">
        <f t="shared" si="13"/>
        <v/>
      </c>
    </row>
    <row r="844" spans="1:1" x14ac:dyDescent="0.2">
      <c r="A844" s="5" t="str">
        <f t="shared" si="13"/>
        <v/>
      </c>
    </row>
    <row r="845" spans="1:1" x14ac:dyDescent="0.2">
      <c r="A845" s="5" t="str">
        <f t="shared" si="13"/>
        <v/>
      </c>
    </row>
    <row r="846" spans="1:1" x14ac:dyDescent="0.2">
      <c r="A846" s="5" t="str">
        <f t="shared" si="13"/>
        <v/>
      </c>
    </row>
    <row r="847" spans="1:1" x14ac:dyDescent="0.2">
      <c r="A847" s="5" t="str">
        <f t="shared" si="13"/>
        <v/>
      </c>
    </row>
    <row r="848" spans="1:1" x14ac:dyDescent="0.2">
      <c r="A848" s="5" t="str">
        <f t="shared" si="13"/>
        <v/>
      </c>
    </row>
    <row r="849" spans="1:1" x14ac:dyDescent="0.2">
      <c r="A849" s="5" t="str">
        <f t="shared" si="13"/>
        <v/>
      </c>
    </row>
    <row r="850" spans="1:1" x14ac:dyDescent="0.2">
      <c r="A850" s="5" t="str">
        <f t="shared" si="13"/>
        <v/>
      </c>
    </row>
    <row r="851" spans="1:1" x14ac:dyDescent="0.2">
      <c r="A851" s="5" t="str">
        <f t="shared" si="13"/>
        <v/>
      </c>
    </row>
    <row r="852" spans="1:1" x14ac:dyDescent="0.2">
      <c r="A852" s="5" t="str">
        <f t="shared" si="13"/>
        <v/>
      </c>
    </row>
    <row r="853" spans="1:1" x14ac:dyDescent="0.2">
      <c r="A853" s="5" t="str">
        <f t="shared" si="13"/>
        <v/>
      </c>
    </row>
    <row r="854" spans="1:1" x14ac:dyDescent="0.2">
      <c r="A854" s="5" t="str">
        <f t="shared" si="13"/>
        <v/>
      </c>
    </row>
    <row r="855" spans="1:1" x14ac:dyDescent="0.2">
      <c r="A855" s="5" t="str">
        <f t="shared" si="13"/>
        <v/>
      </c>
    </row>
    <row r="856" spans="1:1" x14ac:dyDescent="0.2">
      <c r="A856" s="5" t="str">
        <f t="shared" si="13"/>
        <v/>
      </c>
    </row>
    <row r="857" spans="1:1" x14ac:dyDescent="0.2">
      <c r="A857" s="5" t="str">
        <f t="shared" si="13"/>
        <v/>
      </c>
    </row>
    <row r="858" spans="1:1" x14ac:dyDescent="0.2">
      <c r="A858" s="5" t="str">
        <f t="shared" si="13"/>
        <v/>
      </c>
    </row>
    <row r="859" spans="1:1" x14ac:dyDescent="0.2">
      <c r="A859" s="5" t="str">
        <f t="shared" si="13"/>
        <v/>
      </c>
    </row>
    <row r="860" spans="1:1" x14ac:dyDescent="0.2">
      <c r="A860" s="5" t="str">
        <f t="shared" si="13"/>
        <v/>
      </c>
    </row>
    <row r="861" spans="1:1" x14ac:dyDescent="0.2">
      <c r="A861" s="5" t="str">
        <f t="shared" si="13"/>
        <v/>
      </c>
    </row>
    <row r="862" spans="1:1" x14ac:dyDescent="0.2">
      <c r="A862" s="5" t="str">
        <f t="shared" si="13"/>
        <v/>
      </c>
    </row>
    <row r="863" spans="1:1" x14ac:dyDescent="0.2">
      <c r="A863" s="5" t="str">
        <f t="shared" si="13"/>
        <v/>
      </c>
    </row>
    <row r="864" spans="1:1" x14ac:dyDescent="0.2">
      <c r="A864" s="5" t="str">
        <f t="shared" si="13"/>
        <v/>
      </c>
    </row>
    <row r="865" spans="1:1" x14ac:dyDescent="0.2">
      <c r="A865" s="5" t="str">
        <f t="shared" si="13"/>
        <v/>
      </c>
    </row>
    <row r="866" spans="1:1" x14ac:dyDescent="0.2">
      <c r="A866" s="5" t="str">
        <f t="shared" si="13"/>
        <v/>
      </c>
    </row>
    <row r="867" spans="1:1" x14ac:dyDescent="0.2">
      <c r="A867" s="5" t="str">
        <f t="shared" si="13"/>
        <v/>
      </c>
    </row>
    <row r="868" spans="1:1" x14ac:dyDescent="0.2">
      <c r="A868" s="5" t="str">
        <f t="shared" si="13"/>
        <v/>
      </c>
    </row>
    <row r="869" spans="1:1" x14ac:dyDescent="0.2">
      <c r="A869" s="5" t="str">
        <f t="shared" si="13"/>
        <v/>
      </c>
    </row>
    <row r="870" spans="1:1" x14ac:dyDescent="0.2">
      <c r="A870" s="5" t="str">
        <f t="shared" si="13"/>
        <v/>
      </c>
    </row>
    <row r="871" spans="1:1" x14ac:dyDescent="0.2">
      <c r="A871" s="5" t="str">
        <f t="shared" si="13"/>
        <v/>
      </c>
    </row>
    <row r="872" spans="1:1" x14ac:dyDescent="0.2">
      <c r="A872" s="5" t="str">
        <f t="shared" si="13"/>
        <v/>
      </c>
    </row>
    <row r="873" spans="1:1" x14ac:dyDescent="0.2">
      <c r="A873" s="5" t="str">
        <f t="shared" si="13"/>
        <v/>
      </c>
    </row>
    <row r="874" spans="1:1" x14ac:dyDescent="0.2">
      <c r="A874" s="5" t="str">
        <f t="shared" si="13"/>
        <v/>
      </c>
    </row>
    <row r="875" spans="1:1" x14ac:dyDescent="0.2">
      <c r="A875" s="5" t="str">
        <f t="shared" si="13"/>
        <v/>
      </c>
    </row>
    <row r="876" spans="1:1" x14ac:dyDescent="0.2">
      <c r="A876" s="5" t="str">
        <f t="shared" si="13"/>
        <v/>
      </c>
    </row>
    <row r="877" spans="1:1" x14ac:dyDescent="0.2">
      <c r="A877" s="5" t="str">
        <f t="shared" si="13"/>
        <v/>
      </c>
    </row>
    <row r="878" spans="1:1" x14ac:dyDescent="0.2">
      <c r="A878" s="5" t="str">
        <f t="shared" si="13"/>
        <v/>
      </c>
    </row>
    <row r="879" spans="1:1" x14ac:dyDescent="0.2">
      <c r="A879" s="5" t="str">
        <f t="shared" si="13"/>
        <v/>
      </c>
    </row>
    <row r="880" spans="1:1" x14ac:dyDescent="0.2">
      <c r="A880" s="5" t="str">
        <f t="shared" si="13"/>
        <v/>
      </c>
    </row>
    <row r="881" spans="1:1" x14ac:dyDescent="0.2">
      <c r="A881" s="5" t="str">
        <f t="shared" si="13"/>
        <v/>
      </c>
    </row>
    <row r="882" spans="1:1" x14ac:dyDescent="0.2">
      <c r="A882" s="5" t="str">
        <f t="shared" si="13"/>
        <v/>
      </c>
    </row>
    <row r="883" spans="1:1" x14ac:dyDescent="0.2">
      <c r="A883" s="5" t="str">
        <f t="shared" si="13"/>
        <v/>
      </c>
    </row>
    <row r="884" spans="1:1" x14ac:dyDescent="0.2">
      <c r="A884" s="5" t="str">
        <f t="shared" si="13"/>
        <v/>
      </c>
    </row>
    <row r="885" spans="1:1" x14ac:dyDescent="0.2">
      <c r="A885" s="5" t="str">
        <f t="shared" si="13"/>
        <v/>
      </c>
    </row>
    <row r="886" spans="1:1" x14ac:dyDescent="0.2">
      <c r="A886" s="5" t="str">
        <f t="shared" si="13"/>
        <v/>
      </c>
    </row>
    <row r="887" spans="1:1" x14ac:dyDescent="0.2">
      <c r="A887" s="5" t="str">
        <f t="shared" si="13"/>
        <v/>
      </c>
    </row>
    <row r="888" spans="1:1" x14ac:dyDescent="0.2">
      <c r="A888" s="5" t="str">
        <f t="shared" si="13"/>
        <v/>
      </c>
    </row>
    <row r="889" spans="1:1" x14ac:dyDescent="0.2">
      <c r="A889" s="5" t="str">
        <f t="shared" si="13"/>
        <v/>
      </c>
    </row>
    <row r="890" spans="1:1" x14ac:dyDescent="0.2">
      <c r="A890" s="5" t="str">
        <f t="shared" si="13"/>
        <v/>
      </c>
    </row>
    <row r="891" spans="1:1" x14ac:dyDescent="0.2">
      <c r="A891" s="5" t="str">
        <f t="shared" si="13"/>
        <v/>
      </c>
    </row>
    <row r="892" spans="1:1" x14ac:dyDescent="0.2">
      <c r="A892" s="5" t="str">
        <f t="shared" si="13"/>
        <v/>
      </c>
    </row>
    <row r="893" spans="1:1" x14ac:dyDescent="0.2">
      <c r="A893" s="5" t="str">
        <f t="shared" si="13"/>
        <v/>
      </c>
    </row>
    <row r="894" spans="1:1" x14ac:dyDescent="0.2">
      <c r="A894" s="5" t="str">
        <f t="shared" si="13"/>
        <v/>
      </c>
    </row>
    <row r="895" spans="1:1" x14ac:dyDescent="0.2">
      <c r="A895" s="5" t="str">
        <f t="shared" si="13"/>
        <v/>
      </c>
    </row>
    <row r="896" spans="1:1" x14ac:dyDescent="0.2">
      <c r="A896" s="5" t="str">
        <f t="shared" si="13"/>
        <v/>
      </c>
    </row>
    <row r="897" spans="1:1" x14ac:dyDescent="0.2">
      <c r="A897" s="5" t="str">
        <f t="shared" si="13"/>
        <v/>
      </c>
    </row>
    <row r="898" spans="1:1" x14ac:dyDescent="0.2">
      <c r="A898" s="5" t="str">
        <f t="shared" si="13"/>
        <v/>
      </c>
    </row>
    <row r="899" spans="1:1" x14ac:dyDescent="0.2">
      <c r="A899" s="5" t="str">
        <f t="shared" si="13"/>
        <v/>
      </c>
    </row>
    <row r="900" spans="1:1" x14ac:dyDescent="0.2">
      <c r="A900" s="5" t="str">
        <f t="shared" ref="A900:A963" si="14">IF(AND(B899&lt;&gt;"",B900=""),$A$2&amp;"---&gt;","")</f>
        <v/>
      </c>
    </row>
    <row r="901" spans="1:1" x14ac:dyDescent="0.2">
      <c r="A901" s="5" t="str">
        <f t="shared" si="14"/>
        <v/>
      </c>
    </row>
    <row r="902" spans="1:1" x14ac:dyDescent="0.2">
      <c r="A902" s="5" t="str">
        <f t="shared" si="14"/>
        <v/>
      </c>
    </row>
    <row r="903" spans="1:1" x14ac:dyDescent="0.2">
      <c r="A903" s="5" t="str">
        <f t="shared" si="14"/>
        <v/>
      </c>
    </row>
    <row r="904" spans="1:1" x14ac:dyDescent="0.2">
      <c r="A904" s="5" t="str">
        <f t="shared" si="14"/>
        <v/>
      </c>
    </row>
    <row r="905" spans="1:1" x14ac:dyDescent="0.2">
      <c r="A905" s="5" t="str">
        <f t="shared" si="14"/>
        <v/>
      </c>
    </row>
    <row r="906" spans="1:1" x14ac:dyDescent="0.2">
      <c r="A906" s="5" t="str">
        <f t="shared" si="14"/>
        <v/>
      </c>
    </row>
    <row r="907" spans="1:1" x14ac:dyDescent="0.2">
      <c r="A907" s="5" t="str">
        <f t="shared" si="14"/>
        <v/>
      </c>
    </row>
    <row r="908" spans="1:1" x14ac:dyDescent="0.2">
      <c r="A908" s="5" t="str">
        <f t="shared" si="14"/>
        <v/>
      </c>
    </row>
    <row r="909" spans="1:1" x14ac:dyDescent="0.2">
      <c r="A909" s="5" t="str">
        <f t="shared" si="14"/>
        <v/>
      </c>
    </row>
    <row r="910" spans="1:1" x14ac:dyDescent="0.2">
      <c r="A910" s="5" t="str">
        <f t="shared" si="14"/>
        <v/>
      </c>
    </row>
    <row r="911" spans="1:1" x14ac:dyDescent="0.2">
      <c r="A911" s="5" t="str">
        <f t="shared" si="14"/>
        <v/>
      </c>
    </row>
    <row r="912" spans="1:1" x14ac:dyDescent="0.2">
      <c r="A912" s="5" t="str">
        <f t="shared" si="14"/>
        <v/>
      </c>
    </row>
    <row r="913" spans="1:1" x14ac:dyDescent="0.2">
      <c r="A913" s="5" t="str">
        <f t="shared" si="14"/>
        <v/>
      </c>
    </row>
    <row r="914" spans="1:1" x14ac:dyDescent="0.2">
      <c r="A914" s="5" t="str">
        <f t="shared" si="14"/>
        <v/>
      </c>
    </row>
    <row r="915" spans="1:1" x14ac:dyDescent="0.2">
      <c r="A915" s="5" t="str">
        <f t="shared" si="14"/>
        <v/>
      </c>
    </row>
    <row r="916" spans="1:1" x14ac:dyDescent="0.2">
      <c r="A916" s="5" t="str">
        <f t="shared" si="14"/>
        <v/>
      </c>
    </row>
    <row r="917" spans="1:1" x14ac:dyDescent="0.2">
      <c r="A917" s="5" t="str">
        <f t="shared" si="14"/>
        <v/>
      </c>
    </row>
    <row r="918" spans="1:1" x14ac:dyDescent="0.2">
      <c r="A918" s="5" t="str">
        <f t="shared" si="14"/>
        <v/>
      </c>
    </row>
    <row r="919" spans="1:1" x14ac:dyDescent="0.2">
      <c r="A919" s="5" t="str">
        <f t="shared" si="14"/>
        <v/>
      </c>
    </row>
    <row r="920" spans="1:1" x14ac:dyDescent="0.2">
      <c r="A920" s="5" t="str">
        <f t="shared" si="14"/>
        <v/>
      </c>
    </row>
    <row r="921" spans="1:1" x14ac:dyDescent="0.2">
      <c r="A921" s="5" t="str">
        <f t="shared" si="14"/>
        <v/>
      </c>
    </row>
    <row r="922" spans="1:1" x14ac:dyDescent="0.2">
      <c r="A922" s="5" t="str">
        <f t="shared" si="14"/>
        <v/>
      </c>
    </row>
    <row r="923" spans="1:1" x14ac:dyDescent="0.2">
      <c r="A923" s="5" t="str">
        <f t="shared" si="14"/>
        <v/>
      </c>
    </row>
    <row r="924" spans="1:1" x14ac:dyDescent="0.2">
      <c r="A924" s="5" t="str">
        <f t="shared" si="14"/>
        <v/>
      </c>
    </row>
    <row r="925" spans="1:1" x14ac:dyDescent="0.2">
      <c r="A925" s="5" t="str">
        <f t="shared" si="14"/>
        <v/>
      </c>
    </row>
    <row r="926" spans="1:1" x14ac:dyDescent="0.2">
      <c r="A926" s="5" t="str">
        <f t="shared" si="14"/>
        <v/>
      </c>
    </row>
    <row r="927" spans="1:1" x14ac:dyDescent="0.2">
      <c r="A927" s="5" t="str">
        <f t="shared" si="14"/>
        <v/>
      </c>
    </row>
    <row r="928" spans="1:1" x14ac:dyDescent="0.2">
      <c r="A928" s="5" t="str">
        <f t="shared" si="14"/>
        <v/>
      </c>
    </row>
    <row r="929" spans="1:1" x14ac:dyDescent="0.2">
      <c r="A929" s="5" t="str">
        <f t="shared" si="14"/>
        <v/>
      </c>
    </row>
    <row r="930" spans="1:1" x14ac:dyDescent="0.2">
      <c r="A930" s="5" t="str">
        <f t="shared" si="14"/>
        <v/>
      </c>
    </row>
    <row r="931" spans="1:1" x14ac:dyDescent="0.2">
      <c r="A931" s="5" t="str">
        <f t="shared" si="14"/>
        <v/>
      </c>
    </row>
    <row r="932" spans="1:1" x14ac:dyDescent="0.2">
      <c r="A932" s="5" t="str">
        <f t="shared" si="14"/>
        <v/>
      </c>
    </row>
    <row r="933" spans="1:1" x14ac:dyDescent="0.2">
      <c r="A933" s="5" t="str">
        <f t="shared" si="14"/>
        <v/>
      </c>
    </row>
    <row r="934" spans="1:1" x14ac:dyDescent="0.2">
      <c r="A934" s="5" t="str">
        <f t="shared" si="14"/>
        <v/>
      </c>
    </row>
    <row r="935" spans="1:1" x14ac:dyDescent="0.2">
      <c r="A935" s="5" t="str">
        <f t="shared" si="14"/>
        <v/>
      </c>
    </row>
    <row r="936" spans="1:1" x14ac:dyDescent="0.2">
      <c r="A936" s="5" t="str">
        <f t="shared" si="14"/>
        <v/>
      </c>
    </row>
    <row r="937" spans="1:1" x14ac:dyDescent="0.2">
      <c r="A937" s="5" t="str">
        <f t="shared" si="14"/>
        <v/>
      </c>
    </row>
    <row r="938" spans="1:1" x14ac:dyDescent="0.2">
      <c r="A938" s="5" t="str">
        <f t="shared" si="14"/>
        <v/>
      </c>
    </row>
    <row r="939" spans="1:1" x14ac:dyDescent="0.2">
      <c r="A939" s="5" t="str">
        <f t="shared" si="14"/>
        <v/>
      </c>
    </row>
    <row r="940" spans="1:1" x14ac:dyDescent="0.2">
      <c r="A940" s="5" t="str">
        <f t="shared" si="14"/>
        <v/>
      </c>
    </row>
    <row r="941" spans="1:1" x14ac:dyDescent="0.2">
      <c r="A941" s="5" t="str">
        <f t="shared" si="14"/>
        <v/>
      </c>
    </row>
    <row r="942" spans="1:1" x14ac:dyDescent="0.2">
      <c r="A942" s="5" t="str">
        <f t="shared" si="14"/>
        <v/>
      </c>
    </row>
    <row r="943" spans="1:1" x14ac:dyDescent="0.2">
      <c r="A943" s="5" t="str">
        <f t="shared" si="14"/>
        <v/>
      </c>
    </row>
    <row r="944" spans="1:1" x14ac:dyDescent="0.2">
      <c r="A944" s="5" t="str">
        <f t="shared" si="14"/>
        <v/>
      </c>
    </row>
    <row r="945" spans="1:1" x14ac:dyDescent="0.2">
      <c r="A945" s="5" t="str">
        <f t="shared" si="14"/>
        <v/>
      </c>
    </row>
    <row r="946" spans="1:1" x14ac:dyDescent="0.2">
      <c r="A946" s="5" t="str">
        <f t="shared" si="14"/>
        <v/>
      </c>
    </row>
    <row r="947" spans="1:1" x14ac:dyDescent="0.2">
      <c r="A947" s="5" t="str">
        <f t="shared" si="14"/>
        <v/>
      </c>
    </row>
    <row r="948" spans="1:1" x14ac:dyDescent="0.2">
      <c r="A948" s="5" t="str">
        <f t="shared" si="14"/>
        <v/>
      </c>
    </row>
    <row r="949" spans="1:1" x14ac:dyDescent="0.2">
      <c r="A949" s="5" t="str">
        <f t="shared" si="14"/>
        <v/>
      </c>
    </row>
    <row r="950" spans="1:1" x14ac:dyDescent="0.2">
      <c r="A950" s="5" t="str">
        <f t="shared" si="14"/>
        <v/>
      </c>
    </row>
    <row r="951" spans="1:1" x14ac:dyDescent="0.2">
      <c r="A951" s="5" t="str">
        <f t="shared" si="14"/>
        <v/>
      </c>
    </row>
    <row r="952" spans="1:1" x14ac:dyDescent="0.2">
      <c r="A952" s="5" t="str">
        <f t="shared" si="14"/>
        <v/>
      </c>
    </row>
    <row r="953" spans="1:1" x14ac:dyDescent="0.2">
      <c r="A953" s="5" t="str">
        <f t="shared" si="14"/>
        <v/>
      </c>
    </row>
    <row r="954" spans="1:1" x14ac:dyDescent="0.2">
      <c r="A954" s="5" t="str">
        <f t="shared" si="14"/>
        <v/>
      </c>
    </row>
    <row r="955" spans="1:1" x14ac:dyDescent="0.2">
      <c r="A955" s="5" t="str">
        <f t="shared" si="14"/>
        <v/>
      </c>
    </row>
    <row r="956" spans="1:1" x14ac:dyDescent="0.2">
      <c r="A956" s="5" t="str">
        <f t="shared" si="14"/>
        <v/>
      </c>
    </row>
    <row r="957" spans="1:1" x14ac:dyDescent="0.2">
      <c r="A957" s="5" t="str">
        <f t="shared" si="14"/>
        <v/>
      </c>
    </row>
    <row r="958" spans="1:1" x14ac:dyDescent="0.2">
      <c r="A958" s="5" t="str">
        <f t="shared" si="14"/>
        <v/>
      </c>
    </row>
    <row r="959" spans="1:1" x14ac:dyDescent="0.2">
      <c r="A959" s="5" t="str">
        <f t="shared" si="14"/>
        <v/>
      </c>
    </row>
    <row r="960" spans="1:1" x14ac:dyDescent="0.2">
      <c r="A960" s="5" t="str">
        <f t="shared" si="14"/>
        <v/>
      </c>
    </row>
    <row r="961" spans="1:1" x14ac:dyDescent="0.2">
      <c r="A961" s="5" t="str">
        <f t="shared" si="14"/>
        <v/>
      </c>
    </row>
    <row r="962" spans="1:1" x14ac:dyDescent="0.2">
      <c r="A962" s="5" t="str">
        <f t="shared" si="14"/>
        <v/>
      </c>
    </row>
    <row r="963" spans="1:1" x14ac:dyDescent="0.2">
      <c r="A963" s="5" t="str">
        <f t="shared" si="14"/>
        <v/>
      </c>
    </row>
    <row r="964" spans="1:1" x14ac:dyDescent="0.2">
      <c r="A964" s="5" t="str">
        <f t="shared" ref="A964:A1027" si="15">IF(AND(B963&lt;&gt;"",B964=""),$A$2&amp;"---&gt;","")</f>
        <v/>
      </c>
    </row>
    <row r="965" spans="1:1" x14ac:dyDescent="0.2">
      <c r="A965" s="5" t="str">
        <f t="shared" si="15"/>
        <v/>
      </c>
    </row>
    <row r="966" spans="1:1" x14ac:dyDescent="0.2">
      <c r="A966" s="5" t="str">
        <f t="shared" si="15"/>
        <v/>
      </c>
    </row>
    <row r="967" spans="1:1" x14ac:dyDescent="0.2">
      <c r="A967" s="5" t="str">
        <f t="shared" si="15"/>
        <v/>
      </c>
    </row>
    <row r="968" spans="1:1" x14ac:dyDescent="0.2">
      <c r="A968" s="5" t="str">
        <f t="shared" si="15"/>
        <v/>
      </c>
    </row>
    <row r="969" spans="1:1" x14ac:dyDescent="0.2">
      <c r="A969" s="5" t="str">
        <f t="shared" si="15"/>
        <v/>
      </c>
    </row>
    <row r="970" spans="1:1" x14ac:dyDescent="0.2">
      <c r="A970" s="5" t="str">
        <f t="shared" si="15"/>
        <v/>
      </c>
    </row>
    <row r="971" spans="1:1" x14ac:dyDescent="0.2">
      <c r="A971" s="5" t="str">
        <f t="shared" si="15"/>
        <v/>
      </c>
    </row>
    <row r="972" spans="1:1" x14ac:dyDescent="0.2">
      <c r="A972" s="5" t="str">
        <f t="shared" si="15"/>
        <v/>
      </c>
    </row>
    <row r="973" spans="1:1" x14ac:dyDescent="0.2">
      <c r="A973" s="5" t="str">
        <f t="shared" si="15"/>
        <v/>
      </c>
    </row>
    <row r="974" spans="1:1" x14ac:dyDescent="0.2">
      <c r="A974" s="5" t="str">
        <f t="shared" si="15"/>
        <v/>
      </c>
    </row>
    <row r="975" spans="1:1" x14ac:dyDescent="0.2">
      <c r="A975" s="5" t="str">
        <f t="shared" si="15"/>
        <v/>
      </c>
    </row>
    <row r="976" spans="1:1" x14ac:dyDescent="0.2">
      <c r="A976" s="5" t="str">
        <f t="shared" si="15"/>
        <v/>
      </c>
    </row>
    <row r="977" spans="1:1" x14ac:dyDescent="0.2">
      <c r="A977" s="5" t="str">
        <f t="shared" si="15"/>
        <v/>
      </c>
    </row>
    <row r="978" spans="1:1" x14ac:dyDescent="0.2">
      <c r="A978" s="5" t="str">
        <f t="shared" si="15"/>
        <v/>
      </c>
    </row>
    <row r="979" spans="1:1" x14ac:dyDescent="0.2">
      <c r="A979" s="5" t="str">
        <f t="shared" si="15"/>
        <v/>
      </c>
    </row>
    <row r="980" spans="1:1" x14ac:dyDescent="0.2">
      <c r="A980" s="5" t="str">
        <f t="shared" si="15"/>
        <v/>
      </c>
    </row>
    <row r="981" spans="1:1" x14ac:dyDescent="0.2">
      <c r="A981" s="5" t="str">
        <f t="shared" si="15"/>
        <v/>
      </c>
    </row>
    <row r="982" spans="1:1" x14ac:dyDescent="0.2">
      <c r="A982" s="5" t="str">
        <f t="shared" si="15"/>
        <v/>
      </c>
    </row>
    <row r="983" spans="1:1" x14ac:dyDescent="0.2">
      <c r="A983" s="5" t="str">
        <f t="shared" si="15"/>
        <v/>
      </c>
    </row>
    <row r="984" spans="1:1" x14ac:dyDescent="0.2">
      <c r="A984" s="5" t="str">
        <f t="shared" si="15"/>
        <v/>
      </c>
    </row>
    <row r="985" spans="1:1" x14ac:dyDescent="0.2">
      <c r="A985" s="5" t="str">
        <f t="shared" si="15"/>
        <v/>
      </c>
    </row>
    <row r="986" spans="1:1" x14ac:dyDescent="0.2">
      <c r="A986" s="5" t="str">
        <f t="shared" si="15"/>
        <v/>
      </c>
    </row>
    <row r="987" spans="1:1" x14ac:dyDescent="0.2">
      <c r="A987" s="5" t="str">
        <f t="shared" si="15"/>
        <v/>
      </c>
    </row>
    <row r="988" spans="1:1" x14ac:dyDescent="0.2">
      <c r="A988" s="5" t="str">
        <f t="shared" si="15"/>
        <v/>
      </c>
    </row>
    <row r="989" spans="1:1" x14ac:dyDescent="0.2">
      <c r="A989" s="5" t="str">
        <f t="shared" si="15"/>
        <v/>
      </c>
    </row>
    <row r="990" spans="1:1" x14ac:dyDescent="0.2">
      <c r="A990" s="5" t="str">
        <f t="shared" si="15"/>
        <v/>
      </c>
    </row>
    <row r="991" spans="1:1" x14ac:dyDescent="0.2">
      <c r="A991" s="5" t="str">
        <f t="shared" si="15"/>
        <v/>
      </c>
    </row>
    <row r="992" spans="1:1" x14ac:dyDescent="0.2">
      <c r="A992" s="5" t="str">
        <f t="shared" si="15"/>
        <v/>
      </c>
    </row>
    <row r="993" spans="1:1" x14ac:dyDescent="0.2">
      <c r="A993" s="5" t="str">
        <f t="shared" si="15"/>
        <v/>
      </c>
    </row>
    <row r="994" spans="1:1" x14ac:dyDescent="0.2">
      <c r="A994" s="5" t="str">
        <f t="shared" si="15"/>
        <v/>
      </c>
    </row>
    <row r="995" spans="1:1" x14ac:dyDescent="0.2">
      <c r="A995" s="5" t="str">
        <f t="shared" si="15"/>
        <v/>
      </c>
    </row>
    <row r="996" spans="1:1" x14ac:dyDescent="0.2">
      <c r="A996" s="5" t="str">
        <f t="shared" si="15"/>
        <v/>
      </c>
    </row>
    <row r="997" spans="1:1" x14ac:dyDescent="0.2">
      <c r="A997" s="5" t="str">
        <f t="shared" si="15"/>
        <v/>
      </c>
    </row>
    <row r="998" spans="1:1" x14ac:dyDescent="0.2">
      <c r="A998" s="5" t="str">
        <f t="shared" si="15"/>
        <v/>
      </c>
    </row>
    <row r="999" spans="1:1" x14ac:dyDescent="0.2">
      <c r="A999" s="5" t="str">
        <f t="shared" si="15"/>
        <v/>
      </c>
    </row>
    <row r="1000" spans="1:1" x14ac:dyDescent="0.2">
      <c r="A1000" s="5" t="str">
        <f t="shared" si="15"/>
        <v/>
      </c>
    </row>
    <row r="1001" spans="1:1" x14ac:dyDescent="0.2">
      <c r="A1001" s="5" t="str">
        <f t="shared" si="15"/>
        <v/>
      </c>
    </row>
    <row r="1002" spans="1:1" x14ac:dyDescent="0.2">
      <c r="A1002" s="5" t="str">
        <f t="shared" si="15"/>
        <v/>
      </c>
    </row>
    <row r="1003" spans="1:1" x14ac:dyDescent="0.2">
      <c r="A1003" s="5" t="str">
        <f t="shared" si="15"/>
        <v/>
      </c>
    </row>
    <row r="1004" spans="1:1" x14ac:dyDescent="0.2">
      <c r="A1004" s="5" t="str">
        <f t="shared" si="15"/>
        <v/>
      </c>
    </row>
    <row r="1005" spans="1:1" x14ac:dyDescent="0.2">
      <c r="A1005" s="5" t="str">
        <f t="shared" si="15"/>
        <v/>
      </c>
    </row>
    <row r="1006" spans="1:1" x14ac:dyDescent="0.2">
      <c r="A1006" s="5" t="str">
        <f t="shared" si="15"/>
        <v/>
      </c>
    </row>
    <row r="1007" spans="1:1" x14ac:dyDescent="0.2">
      <c r="A1007" s="5" t="str">
        <f t="shared" si="15"/>
        <v/>
      </c>
    </row>
    <row r="1008" spans="1:1" x14ac:dyDescent="0.2">
      <c r="A1008" s="5" t="str">
        <f t="shared" si="15"/>
        <v/>
      </c>
    </row>
    <row r="1009" spans="1:1" x14ac:dyDescent="0.2">
      <c r="A1009" s="5" t="str">
        <f t="shared" si="15"/>
        <v/>
      </c>
    </row>
    <row r="1010" spans="1:1" x14ac:dyDescent="0.2">
      <c r="A1010" s="5" t="str">
        <f t="shared" si="15"/>
        <v/>
      </c>
    </row>
    <row r="1011" spans="1:1" x14ac:dyDescent="0.2">
      <c r="A1011" s="5" t="str">
        <f t="shared" si="15"/>
        <v/>
      </c>
    </row>
    <row r="1012" spans="1:1" x14ac:dyDescent="0.2">
      <c r="A1012" s="5" t="str">
        <f t="shared" si="15"/>
        <v/>
      </c>
    </row>
    <row r="1013" spans="1:1" x14ac:dyDescent="0.2">
      <c r="A1013" s="5" t="str">
        <f t="shared" si="15"/>
        <v/>
      </c>
    </row>
    <row r="1014" spans="1:1" x14ac:dyDescent="0.2">
      <c r="A1014" s="5" t="str">
        <f t="shared" si="15"/>
        <v/>
      </c>
    </row>
    <row r="1015" spans="1:1" x14ac:dyDescent="0.2">
      <c r="A1015" s="5" t="str">
        <f t="shared" si="15"/>
        <v/>
      </c>
    </row>
    <row r="1016" spans="1:1" x14ac:dyDescent="0.2">
      <c r="A1016" s="5" t="str">
        <f t="shared" si="15"/>
        <v/>
      </c>
    </row>
    <row r="1017" spans="1:1" x14ac:dyDescent="0.2">
      <c r="A1017" s="5" t="str">
        <f t="shared" si="15"/>
        <v/>
      </c>
    </row>
    <row r="1018" spans="1:1" x14ac:dyDescent="0.2">
      <c r="A1018" s="5" t="str">
        <f t="shared" si="15"/>
        <v/>
      </c>
    </row>
    <row r="1019" spans="1:1" x14ac:dyDescent="0.2">
      <c r="A1019" s="5" t="str">
        <f t="shared" si="15"/>
        <v/>
      </c>
    </row>
    <row r="1020" spans="1:1" x14ac:dyDescent="0.2">
      <c r="A1020" s="5" t="str">
        <f t="shared" si="15"/>
        <v/>
      </c>
    </row>
    <row r="1021" spans="1:1" x14ac:dyDescent="0.2">
      <c r="A1021" s="5" t="str">
        <f t="shared" si="15"/>
        <v/>
      </c>
    </row>
    <row r="1022" spans="1:1" x14ac:dyDescent="0.2">
      <c r="A1022" s="5" t="str">
        <f t="shared" si="15"/>
        <v/>
      </c>
    </row>
    <row r="1023" spans="1:1" x14ac:dyDescent="0.2">
      <c r="A1023" s="5" t="str">
        <f t="shared" si="15"/>
        <v/>
      </c>
    </row>
    <row r="1024" spans="1:1" x14ac:dyDescent="0.2">
      <c r="A1024" s="5" t="str">
        <f t="shared" si="15"/>
        <v/>
      </c>
    </row>
    <row r="1025" spans="1:1" x14ac:dyDescent="0.2">
      <c r="A1025" s="5" t="str">
        <f t="shared" si="15"/>
        <v/>
      </c>
    </row>
    <row r="1026" spans="1:1" x14ac:dyDescent="0.2">
      <c r="A1026" s="5" t="str">
        <f t="shared" si="15"/>
        <v/>
      </c>
    </row>
    <row r="1027" spans="1:1" x14ac:dyDescent="0.2">
      <c r="A1027" s="5" t="str">
        <f t="shared" si="15"/>
        <v/>
      </c>
    </row>
    <row r="1028" spans="1:1" x14ac:dyDescent="0.2">
      <c r="A1028" s="5" t="str">
        <f t="shared" ref="A1028:A1091" si="16">IF(AND(B1027&lt;&gt;"",B1028=""),$A$2&amp;"---&gt;","")</f>
        <v/>
      </c>
    </row>
    <row r="1029" spans="1:1" x14ac:dyDescent="0.2">
      <c r="A1029" s="5" t="str">
        <f t="shared" si="16"/>
        <v/>
      </c>
    </row>
    <row r="1030" spans="1:1" x14ac:dyDescent="0.2">
      <c r="A1030" s="5" t="str">
        <f t="shared" si="16"/>
        <v/>
      </c>
    </row>
    <row r="1031" spans="1:1" x14ac:dyDescent="0.2">
      <c r="A1031" s="5" t="str">
        <f t="shared" si="16"/>
        <v/>
      </c>
    </row>
    <row r="1032" spans="1:1" x14ac:dyDescent="0.2">
      <c r="A1032" s="5" t="str">
        <f t="shared" si="16"/>
        <v/>
      </c>
    </row>
    <row r="1033" spans="1:1" x14ac:dyDescent="0.2">
      <c r="A1033" s="5" t="str">
        <f t="shared" si="16"/>
        <v/>
      </c>
    </row>
    <row r="1034" spans="1:1" x14ac:dyDescent="0.2">
      <c r="A1034" s="5" t="str">
        <f t="shared" si="16"/>
        <v/>
      </c>
    </row>
    <row r="1035" spans="1:1" x14ac:dyDescent="0.2">
      <c r="A1035" s="5" t="str">
        <f t="shared" si="16"/>
        <v/>
      </c>
    </row>
    <row r="1036" spans="1:1" x14ac:dyDescent="0.2">
      <c r="A1036" s="5" t="str">
        <f t="shared" si="16"/>
        <v/>
      </c>
    </row>
    <row r="1037" spans="1:1" x14ac:dyDescent="0.2">
      <c r="A1037" s="5" t="str">
        <f t="shared" si="16"/>
        <v/>
      </c>
    </row>
    <row r="1038" spans="1:1" x14ac:dyDescent="0.2">
      <c r="A1038" s="5" t="str">
        <f t="shared" si="16"/>
        <v/>
      </c>
    </row>
    <row r="1039" spans="1:1" x14ac:dyDescent="0.2">
      <c r="A1039" s="5" t="str">
        <f t="shared" si="16"/>
        <v/>
      </c>
    </row>
    <row r="1040" spans="1:1" x14ac:dyDescent="0.2">
      <c r="A1040" s="5" t="str">
        <f t="shared" si="16"/>
        <v/>
      </c>
    </row>
    <row r="1041" spans="1:1" x14ac:dyDescent="0.2">
      <c r="A1041" s="5" t="str">
        <f t="shared" si="16"/>
        <v/>
      </c>
    </row>
    <row r="1042" spans="1:1" x14ac:dyDescent="0.2">
      <c r="A1042" s="5" t="str">
        <f t="shared" si="16"/>
        <v/>
      </c>
    </row>
    <row r="1043" spans="1:1" x14ac:dyDescent="0.2">
      <c r="A1043" s="5" t="str">
        <f t="shared" si="16"/>
        <v/>
      </c>
    </row>
    <row r="1044" spans="1:1" x14ac:dyDescent="0.2">
      <c r="A1044" s="5" t="str">
        <f t="shared" si="16"/>
        <v/>
      </c>
    </row>
    <row r="1045" spans="1:1" x14ac:dyDescent="0.2">
      <c r="A1045" s="5" t="str">
        <f t="shared" si="16"/>
        <v/>
      </c>
    </row>
    <row r="1046" spans="1:1" x14ac:dyDescent="0.2">
      <c r="A1046" s="5" t="str">
        <f t="shared" si="16"/>
        <v/>
      </c>
    </row>
    <row r="1047" spans="1:1" x14ac:dyDescent="0.2">
      <c r="A1047" s="5" t="str">
        <f t="shared" si="16"/>
        <v/>
      </c>
    </row>
    <row r="1048" spans="1:1" x14ac:dyDescent="0.2">
      <c r="A1048" s="5" t="str">
        <f t="shared" si="16"/>
        <v/>
      </c>
    </row>
    <row r="1049" spans="1:1" x14ac:dyDescent="0.2">
      <c r="A1049" s="5" t="str">
        <f t="shared" si="16"/>
        <v/>
      </c>
    </row>
    <row r="1050" spans="1:1" x14ac:dyDescent="0.2">
      <c r="A1050" s="5" t="str">
        <f t="shared" si="16"/>
        <v/>
      </c>
    </row>
    <row r="1051" spans="1:1" x14ac:dyDescent="0.2">
      <c r="A1051" s="5" t="str">
        <f t="shared" si="16"/>
        <v/>
      </c>
    </row>
    <row r="1052" spans="1:1" x14ac:dyDescent="0.2">
      <c r="A1052" s="5" t="str">
        <f t="shared" si="16"/>
        <v/>
      </c>
    </row>
    <row r="1053" spans="1:1" x14ac:dyDescent="0.2">
      <c r="A1053" s="5" t="str">
        <f t="shared" si="16"/>
        <v/>
      </c>
    </row>
    <row r="1054" spans="1:1" x14ac:dyDescent="0.2">
      <c r="A1054" s="5" t="str">
        <f t="shared" si="16"/>
        <v/>
      </c>
    </row>
    <row r="1055" spans="1:1" x14ac:dyDescent="0.2">
      <c r="A1055" s="5" t="str">
        <f t="shared" si="16"/>
        <v/>
      </c>
    </row>
    <row r="1056" spans="1:1" x14ac:dyDescent="0.2">
      <c r="A1056" s="5" t="str">
        <f t="shared" si="16"/>
        <v/>
      </c>
    </row>
    <row r="1057" spans="1:1" x14ac:dyDescent="0.2">
      <c r="A1057" s="5" t="str">
        <f t="shared" si="16"/>
        <v/>
      </c>
    </row>
    <row r="1058" spans="1:1" x14ac:dyDescent="0.2">
      <c r="A1058" s="5" t="str">
        <f t="shared" si="16"/>
        <v/>
      </c>
    </row>
    <row r="1059" spans="1:1" x14ac:dyDescent="0.2">
      <c r="A1059" s="5" t="str">
        <f t="shared" si="16"/>
        <v/>
      </c>
    </row>
    <row r="1060" spans="1:1" x14ac:dyDescent="0.2">
      <c r="A1060" s="5" t="str">
        <f t="shared" si="16"/>
        <v/>
      </c>
    </row>
    <row r="1061" spans="1:1" x14ac:dyDescent="0.2">
      <c r="A1061" s="5" t="str">
        <f t="shared" si="16"/>
        <v/>
      </c>
    </row>
    <row r="1062" spans="1:1" x14ac:dyDescent="0.2">
      <c r="A1062" s="5" t="str">
        <f t="shared" si="16"/>
        <v/>
      </c>
    </row>
    <row r="1063" spans="1:1" x14ac:dyDescent="0.2">
      <c r="A1063" s="5" t="str">
        <f t="shared" si="16"/>
        <v/>
      </c>
    </row>
    <row r="1064" spans="1:1" x14ac:dyDescent="0.2">
      <c r="A1064" s="5" t="str">
        <f t="shared" si="16"/>
        <v/>
      </c>
    </row>
    <row r="1065" spans="1:1" x14ac:dyDescent="0.2">
      <c r="A1065" s="5" t="str">
        <f t="shared" si="16"/>
        <v/>
      </c>
    </row>
    <row r="1066" spans="1:1" x14ac:dyDescent="0.2">
      <c r="A1066" s="5" t="str">
        <f t="shared" si="16"/>
        <v/>
      </c>
    </row>
    <row r="1067" spans="1:1" x14ac:dyDescent="0.2">
      <c r="A1067" s="5" t="str">
        <f t="shared" si="16"/>
        <v/>
      </c>
    </row>
    <row r="1068" spans="1:1" x14ac:dyDescent="0.2">
      <c r="A1068" s="5" t="str">
        <f t="shared" si="16"/>
        <v/>
      </c>
    </row>
    <row r="1069" spans="1:1" x14ac:dyDescent="0.2">
      <c r="A1069" s="5" t="str">
        <f t="shared" si="16"/>
        <v/>
      </c>
    </row>
    <row r="1070" spans="1:1" x14ac:dyDescent="0.2">
      <c r="A1070" s="5" t="str">
        <f t="shared" si="16"/>
        <v/>
      </c>
    </row>
    <row r="1071" spans="1:1" x14ac:dyDescent="0.2">
      <c r="A1071" s="5" t="str">
        <f t="shared" si="16"/>
        <v/>
      </c>
    </row>
    <row r="1072" spans="1:1" x14ac:dyDescent="0.2">
      <c r="A1072" s="5" t="str">
        <f t="shared" si="16"/>
        <v/>
      </c>
    </row>
    <row r="1073" spans="1:1" x14ac:dyDescent="0.2">
      <c r="A1073" s="5" t="str">
        <f t="shared" si="16"/>
        <v/>
      </c>
    </row>
    <row r="1074" spans="1:1" x14ac:dyDescent="0.2">
      <c r="A1074" s="5" t="str">
        <f t="shared" si="16"/>
        <v/>
      </c>
    </row>
    <row r="1075" spans="1:1" x14ac:dyDescent="0.2">
      <c r="A1075" s="5" t="str">
        <f t="shared" si="16"/>
        <v/>
      </c>
    </row>
    <row r="1076" spans="1:1" x14ac:dyDescent="0.2">
      <c r="A1076" s="5" t="str">
        <f t="shared" si="16"/>
        <v/>
      </c>
    </row>
    <row r="1077" spans="1:1" x14ac:dyDescent="0.2">
      <c r="A1077" s="5" t="str">
        <f t="shared" si="16"/>
        <v/>
      </c>
    </row>
    <row r="1078" spans="1:1" x14ac:dyDescent="0.2">
      <c r="A1078" s="5" t="str">
        <f t="shared" si="16"/>
        <v/>
      </c>
    </row>
    <row r="1079" spans="1:1" x14ac:dyDescent="0.2">
      <c r="A1079" s="5" t="str">
        <f t="shared" si="16"/>
        <v/>
      </c>
    </row>
    <row r="1080" spans="1:1" x14ac:dyDescent="0.2">
      <c r="A1080" s="5" t="str">
        <f t="shared" si="16"/>
        <v/>
      </c>
    </row>
    <row r="1081" spans="1:1" x14ac:dyDescent="0.2">
      <c r="A1081" s="5" t="str">
        <f t="shared" si="16"/>
        <v/>
      </c>
    </row>
    <row r="1082" spans="1:1" x14ac:dyDescent="0.2">
      <c r="A1082" s="5" t="str">
        <f t="shared" si="16"/>
        <v/>
      </c>
    </row>
    <row r="1083" spans="1:1" x14ac:dyDescent="0.2">
      <c r="A1083" s="5" t="str">
        <f t="shared" si="16"/>
        <v/>
      </c>
    </row>
    <row r="1084" spans="1:1" x14ac:dyDescent="0.2">
      <c r="A1084" s="5" t="str">
        <f t="shared" si="16"/>
        <v/>
      </c>
    </row>
    <row r="1085" spans="1:1" x14ac:dyDescent="0.2">
      <c r="A1085" s="5" t="str">
        <f t="shared" si="16"/>
        <v/>
      </c>
    </row>
    <row r="1086" spans="1:1" x14ac:dyDescent="0.2">
      <c r="A1086" s="5" t="str">
        <f t="shared" si="16"/>
        <v/>
      </c>
    </row>
    <row r="1087" spans="1:1" x14ac:dyDescent="0.2">
      <c r="A1087" s="5" t="str">
        <f t="shared" si="16"/>
        <v/>
      </c>
    </row>
    <row r="1088" spans="1:1" x14ac:dyDescent="0.2">
      <c r="A1088" s="5" t="str">
        <f t="shared" si="16"/>
        <v/>
      </c>
    </row>
    <row r="1089" spans="1:1" x14ac:dyDescent="0.2">
      <c r="A1089" s="5" t="str">
        <f t="shared" si="16"/>
        <v/>
      </c>
    </row>
    <row r="1090" spans="1:1" x14ac:dyDescent="0.2">
      <c r="A1090" s="5" t="str">
        <f t="shared" si="16"/>
        <v/>
      </c>
    </row>
    <row r="1091" spans="1:1" x14ac:dyDescent="0.2">
      <c r="A1091" s="5" t="str">
        <f t="shared" si="16"/>
        <v/>
      </c>
    </row>
    <row r="1092" spans="1:1" x14ac:dyDescent="0.2">
      <c r="A1092" s="5" t="str">
        <f t="shared" ref="A1092:A1155" si="17">IF(AND(B1091&lt;&gt;"",B1092=""),$A$2&amp;"---&gt;","")</f>
        <v/>
      </c>
    </row>
    <row r="1093" spans="1:1" x14ac:dyDescent="0.2">
      <c r="A1093" s="5" t="str">
        <f t="shared" si="17"/>
        <v/>
      </c>
    </row>
    <row r="1094" spans="1:1" x14ac:dyDescent="0.2">
      <c r="A1094" s="5" t="str">
        <f t="shared" si="17"/>
        <v/>
      </c>
    </row>
    <row r="1095" spans="1:1" x14ac:dyDescent="0.2">
      <c r="A1095" s="5" t="str">
        <f t="shared" si="17"/>
        <v/>
      </c>
    </row>
    <row r="1096" spans="1:1" x14ac:dyDescent="0.2">
      <c r="A1096" s="5" t="str">
        <f t="shared" si="17"/>
        <v/>
      </c>
    </row>
    <row r="1097" spans="1:1" x14ac:dyDescent="0.2">
      <c r="A1097" s="5" t="str">
        <f t="shared" si="17"/>
        <v/>
      </c>
    </row>
    <row r="1098" spans="1:1" x14ac:dyDescent="0.2">
      <c r="A1098" s="5" t="str">
        <f t="shared" si="17"/>
        <v/>
      </c>
    </row>
    <row r="1099" spans="1:1" x14ac:dyDescent="0.2">
      <c r="A1099" s="5" t="str">
        <f t="shared" si="17"/>
        <v/>
      </c>
    </row>
    <row r="1100" spans="1:1" x14ac:dyDescent="0.2">
      <c r="A1100" s="5" t="str">
        <f t="shared" si="17"/>
        <v/>
      </c>
    </row>
    <row r="1101" spans="1:1" x14ac:dyDescent="0.2">
      <c r="A1101" s="5" t="str">
        <f t="shared" si="17"/>
        <v/>
      </c>
    </row>
    <row r="1102" spans="1:1" x14ac:dyDescent="0.2">
      <c r="A1102" s="5" t="str">
        <f t="shared" si="17"/>
        <v/>
      </c>
    </row>
    <row r="1103" spans="1:1" x14ac:dyDescent="0.2">
      <c r="A1103" s="5" t="str">
        <f t="shared" si="17"/>
        <v/>
      </c>
    </row>
    <row r="1104" spans="1:1" x14ac:dyDescent="0.2">
      <c r="A1104" s="5" t="str">
        <f t="shared" si="17"/>
        <v/>
      </c>
    </row>
    <row r="1105" spans="1:1" x14ac:dyDescent="0.2">
      <c r="A1105" s="5" t="str">
        <f t="shared" si="17"/>
        <v/>
      </c>
    </row>
    <row r="1106" spans="1:1" x14ac:dyDescent="0.2">
      <c r="A1106" s="5" t="str">
        <f t="shared" si="17"/>
        <v/>
      </c>
    </row>
    <row r="1107" spans="1:1" x14ac:dyDescent="0.2">
      <c r="A1107" s="5" t="str">
        <f t="shared" si="17"/>
        <v/>
      </c>
    </row>
    <row r="1108" spans="1:1" x14ac:dyDescent="0.2">
      <c r="A1108" s="5" t="str">
        <f t="shared" si="17"/>
        <v/>
      </c>
    </row>
    <row r="1109" spans="1:1" x14ac:dyDescent="0.2">
      <c r="A1109" s="5" t="str">
        <f t="shared" si="17"/>
        <v/>
      </c>
    </row>
    <row r="1110" spans="1:1" x14ac:dyDescent="0.2">
      <c r="A1110" s="5" t="str">
        <f t="shared" si="17"/>
        <v/>
      </c>
    </row>
    <row r="1111" spans="1:1" x14ac:dyDescent="0.2">
      <c r="A1111" s="5" t="str">
        <f t="shared" si="17"/>
        <v/>
      </c>
    </row>
    <row r="1112" spans="1:1" x14ac:dyDescent="0.2">
      <c r="A1112" s="5" t="str">
        <f t="shared" si="17"/>
        <v/>
      </c>
    </row>
    <row r="1113" spans="1:1" x14ac:dyDescent="0.2">
      <c r="A1113" s="5" t="str">
        <f t="shared" si="17"/>
        <v/>
      </c>
    </row>
    <row r="1114" spans="1:1" x14ac:dyDescent="0.2">
      <c r="A1114" s="5" t="str">
        <f t="shared" si="17"/>
        <v/>
      </c>
    </row>
    <row r="1115" spans="1:1" x14ac:dyDescent="0.2">
      <c r="A1115" s="5" t="str">
        <f t="shared" si="17"/>
        <v/>
      </c>
    </row>
    <row r="1116" spans="1:1" x14ac:dyDescent="0.2">
      <c r="A1116" s="5" t="str">
        <f t="shared" si="17"/>
        <v/>
      </c>
    </row>
    <row r="1117" spans="1:1" x14ac:dyDescent="0.2">
      <c r="A1117" s="5" t="str">
        <f t="shared" si="17"/>
        <v/>
      </c>
    </row>
    <row r="1118" spans="1:1" x14ac:dyDescent="0.2">
      <c r="A1118" s="5" t="str">
        <f t="shared" si="17"/>
        <v/>
      </c>
    </row>
    <row r="1119" spans="1:1" x14ac:dyDescent="0.2">
      <c r="A1119" s="5" t="str">
        <f t="shared" si="17"/>
        <v/>
      </c>
    </row>
    <row r="1120" spans="1:1" x14ac:dyDescent="0.2">
      <c r="A1120" s="5" t="str">
        <f t="shared" si="17"/>
        <v/>
      </c>
    </row>
    <row r="1121" spans="1:1" x14ac:dyDescent="0.2">
      <c r="A1121" s="5" t="str">
        <f t="shared" si="17"/>
        <v/>
      </c>
    </row>
    <row r="1122" spans="1:1" x14ac:dyDescent="0.2">
      <c r="A1122" s="5" t="str">
        <f t="shared" si="17"/>
        <v/>
      </c>
    </row>
    <row r="1123" spans="1:1" x14ac:dyDescent="0.2">
      <c r="A1123" s="5" t="str">
        <f t="shared" si="17"/>
        <v/>
      </c>
    </row>
    <row r="1124" spans="1:1" x14ac:dyDescent="0.2">
      <c r="A1124" s="5" t="str">
        <f t="shared" si="17"/>
        <v/>
      </c>
    </row>
    <row r="1125" spans="1:1" x14ac:dyDescent="0.2">
      <c r="A1125" s="5" t="str">
        <f t="shared" si="17"/>
        <v/>
      </c>
    </row>
    <row r="1126" spans="1:1" x14ac:dyDescent="0.2">
      <c r="A1126" s="5" t="str">
        <f t="shared" si="17"/>
        <v/>
      </c>
    </row>
    <row r="1127" spans="1:1" x14ac:dyDescent="0.2">
      <c r="A1127" s="5" t="str">
        <f t="shared" si="17"/>
        <v/>
      </c>
    </row>
    <row r="1128" spans="1:1" x14ac:dyDescent="0.2">
      <c r="A1128" s="5" t="str">
        <f t="shared" si="17"/>
        <v/>
      </c>
    </row>
    <row r="1129" spans="1:1" x14ac:dyDescent="0.2">
      <c r="A1129" s="5" t="str">
        <f t="shared" si="17"/>
        <v/>
      </c>
    </row>
    <row r="1130" spans="1:1" x14ac:dyDescent="0.2">
      <c r="A1130" s="5" t="str">
        <f t="shared" si="17"/>
        <v/>
      </c>
    </row>
    <row r="1131" spans="1:1" x14ac:dyDescent="0.2">
      <c r="A1131" s="5" t="str">
        <f t="shared" si="17"/>
        <v/>
      </c>
    </row>
    <row r="1132" spans="1:1" x14ac:dyDescent="0.2">
      <c r="A1132" s="5" t="str">
        <f t="shared" si="17"/>
        <v/>
      </c>
    </row>
    <row r="1133" spans="1:1" x14ac:dyDescent="0.2">
      <c r="A1133" s="5" t="str">
        <f t="shared" si="17"/>
        <v/>
      </c>
    </row>
    <row r="1134" spans="1:1" x14ac:dyDescent="0.2">
      <c r="A1134" s="5" t="str">
        <f t="shared" si="17"/>
        <v/>
      </c>
    </row>
    <row r="1135" spans="1:1" x14ac:dyDescent="0.2">
      <c r="A1135" s="5" t="str">
        <f t="shared" si="17"/>
        <v/>
      </c>
    </row>
    <row r="1136" spans="1:1" x14ac:dyDescent="0.2">
      <c r="A1136" s="5" t="str">
        <f t="shared" si="17"/>
        <v/>
      </c>
    </row>
    <row r="1137" spans="1:1" x14ac:dyDescent="0.2">
      <c r="A1137" s="5" t="str">
        <f t="shared" si="17"/>
        <v/>
      </c>
    </row>
    <row r="1138" spans="1:1" x14ac:dyDescent="0.2">
      <c r="A1138" s="5" t="str">
        <f t="shared" si="17"/>
        <v/>
      </c>
    </row>
    <row r="1139" spans="1:1" x14ac:dyDescent="0.2">
      <c r="A1139" s="5" t="str">
        <f t="shared" si="17"/>
        <v/>
      </c>
    </row>
    <row r="1140" spans="1:1" x14ac:dyDescent="0.2">
      <c r="A1140" s="5" t="str">
        <f t="shared" si="17"/>
        <v/>
      </c>
    </row>
    <row r="1141" spans="1:1" x14ac:dyDescent="0.2">
      <c r="A1141" s="5" t="str">
        <f t="shared" si="17"/>
        <v/>
      </c>
    </row>
    <row r="1142" spans="1:1" x14ac:dyDescent="0.2">
      <c r="A1142" s="5" t="str">
        <f t="shared" si="17"/>
        <v/>
      </c>
    </row>
    <row r="1143" spans="1:1" x14ac:dyDescent="0.2">
      <c r="A1143" s="5" t="str">
        <f t="shared" si="17"/>
        <v/>
      </c>
    </row>
    <row r="1144" spans="1:1" x14ac:dyDescent="0.2">
      <c r="A1144" s="5" t="str">
        <f t="shared" si="17"/>
        <v/>
      </c>
    </row>
    <row r="1145" spans="1:1" x14ac:dyDescent="0.2">
      <c r="A1145" s="5" t="str">
        <f t="shared" si="17"/>
        <v/>
      </c>
    </row>
    <row r="1146" spans="1:1" x14ac:dyDescent="0.2">
      <c r="A1146" s="5" t="str">
        <f t="shared" si="17"/>
        <v/>
      </c>
    </row>
    <row r="1147" spans="1:1" x14ac:dyDescent="0.2">
      <c r="A1147" s="5" t="str">
        <f t="shared" si="17"/>
        <v/>
      </c>
    </row>
    <row r="1148" spans="1:1" x14ac:dyDescent="0.2">
      <c r="A1148" s="5" t="str">
        <f t="shared" si="17"/>
        <v/>
      </c>
    </row>
    <row r="1149" spans="1:1" x14ac:dyDescent="0.2">
      <c r="A1149" s="5" t="str">
        <f t="shared" si="17"/>
        <v/>
      </c>
    </row>
    <row r="1150" spans="1:1" x14ac:dyDescent="0.2">
      <c r="A1150" s="5" t="str">
        <f t="shared" si="17"/>
        <v/>
      </c>
    </row>
    <row r="1151" spans="1:1" x14ac:dyDescent="0.2">
      <c r="A1151" s="5" t="str">
        <f t="shared" si="17"/>
        <v/>
      </c>
    </row>
    <row r="1152" spans="1:1" x14ac:dyDescent="0.2">
      <c r="A1152" s="5" t="str">
        <f t="shared" si="17"/>
        <v/>
      </c>
    </row>
    <row r="1153" spans="1:1" x14ac:dyDescent="0.2">
      <c r="A1153" s="5" t="str">
        <f t="shared" si="17"/>
        <v/>
      </c>
    </row>
    <row r="1154" spans="1:1" x14ac:dyDescent="0.2">
      <c r="A1154" s="5" t="str">
        <f t="shared" si="17"/>
        <v/>
      </c>
    </row>
    <row r="1155" spans="1:1" x14ac:dyDescent="0.2">
      <c r="A1155" s="5" t="str">
        <f t="shared" si="17"/>
        <v/>
      </c>
    </row>
    <row r="1156" spans="1:1" x14ac:dyDescent="0.2">
      <c r="A1156" s="5" t="str">
        <f t="shared" ref="A1156:A1219" si="18">IF(AND(B1155&lt;&gt;"",B1156=""),$A$2&amp;"---&gt;","")</f>
        <v/>
      </c>
    </row>
    <row r="1157" spans="1:1" x14ac:dyDescent="0.2">
      <c r="A1157" s="5" t="str">
        <f t="shared" si="18"/>
        <v/>
      </c>
    </row>
    <row r="1158" spans="1:1" x14ac:dyDescent="0.2">
      <c r="A1158" s="5" t="str">
        <f t="shared" si="18"/>
        <v/>
      </c>
    </row>
    <row r="1159" spans="1:1" x14ac:dyDescent="0.2">
      <c r="A1159" s="5" t="str">
        <f t="shared" si="18"/>
        <v/>
      </c>
    </row>
    <row r="1160" spans="1:1" x14ac:dyDescent="0.2">
      <c r="A1160" s="5" t="str">
        <f t="shared" si="18"/>
        <v/>
      </c>
    </row>
    <row r="1161" spans="1:1" x14ac:dyDescent="0.2">
      <c r="A1161" s="5" t="str">
        <f t="shared" si="18"/>
        <v/>
      </c>
    </row>
    <row r="1162" spans="1:1" x14ac:dyDescent="0.2">
      <c r="A1162" s="5" t="str">
        <f t="shared" si="18"/>
        <v/>
      </c>
    </row>
    <row r="1163" spans="1:1" x14ac:dyDescent="0.2">
      <c r="A1163" s="5" t="str">
        <f t="shared" si="18"/>
        <v/>
      </c>
    </row>
    <row r="1164" spans="1:1" x14ac:dyDescent="0.2">
      <c r="A1164" s="5" t="str">
        <f t="shared" si="18"/>
        <v/>
      </c>
    </row>
    <row r="1165" spans="1:1" x14ac:dyDescent="0.2">
      <c r="A1165" s="5" t="str">
        <f t="shared" si="18"/>
        <v/>
      </c>
    </row>
    <row r="1166" spans="1:1" x14ac:dyDescent="0.2">
      <c r="A1166" s="5" t="str">
        <f t="shared" si="18"/>
        <v/>
      </c>
    </row>
    <row r="1167" spans="1:1" x14ac:dyDescent="0.2">
      <c r="A1167" s="5" t="str">
        <f t="shared" si="18"/>
        <v/>
      </c>
    </row>
    <row r="1168" spans="1:1" x14ac:dyDescent="0.2">
      <c r="A1168" s="5" t="str">
        <f t="shared" si="18"/>
        <v/>
      </c>
    </row>
    <row r="1169" spans="1:1" x14ac:dyDescent="0.2">
      <c r="A1169" s="5" t="str">
        <f t="shared" si="18"/>
        <v/>
      </c>
    </row>
    <row r="1170" spans="1:1" x14ac:dyDescent="0.2">
      <c r="A1170" s="5" t="str">
        <f t="shared" si="18"/>
        <v/>
      </c>
    </row>
    <row r="1171" spans="1:1" x14ac:dyDescent="0.2">
      <c r="A1171" s="5" t="str">
        <f t="shared" si="18"/>
        <v/>
      </c>
    </row>
    <row r="1172" spans="1:1" x14ac:dyDescent="0.2">
      <c r="A1172" s="5" t="str">
        <f t="shared" si="18"/>
        <v/>
      </c>
    </row>
    <row r="1173" spans="1:1" x14ac:dyDescent="0.2">
      <c r="A1173" s="5" t="str">
        <f t="shared" si="18"/>
        <v/>
      </c>
    </row>
    <row r="1174" spans="1:1" x14ac:dyDescent="0.2">
      <c r="A1174" s="5" t="str">
        <f t="shared" si="18"/>
        <v/>
      </c>
    </row>
    <row r="1175" spans="1:1" x14ac:dyDescent="0.2">
      <c r="A1175" s="5" t="str">
        <f t="shared" si="18"/>
        <v/>
      </c>
    </row>
    <row r="1176" spans="1:1" x14ac:dyDescent="0.2">
      <c r="A1176" s="5" t="str">
        <f t="shared" si="18"/>
        <v/>
      </c>
    </row>
    <row r="1177" spans="1:1" x14ac:dyDescent="0.2">
      <c r="A1177" s="5" t="str">
        <f t="shared" si="18"/>
        <v/>
      </c>
    </row>
    <row r="1178" spans="1:1" x14ac:dyDescent="0.2">
      <c r="A1178" s="5" t="str">
        <f t="shared" si="18"/>
        <v/>
      </c>
    </row>
    <row r="1179" spans="1:1" x14ac:dyDescent="0.2">
      <c r="A1179" s="5" t="str">
        <f t="shared" si="18"/>
        <v/>
      </c>
    </row>
    <row r="1180" spans="1:1" x14ac:dyDescent="0.2">
      <c r="A1180" s="5" t="str">
        <f t="shared" si="18"/>
        <v/>
      </c>
    </row>
    <row r="1181" spans="1:1" x14ac:dyDescent="0.2">
      <c r="A1181" s="5" t="str">
        <f t="shared" si="18"/>
        <v/>
      </c>
    </row>
    <row r="1182" spans="1:1" x14ac:dyDescent="0.2">
      <c r="A1182" s="5" t="str">
        <f t="shared" si="18"/>
        <v/>
      </c>
    </row>
    <row r="1183" spans="1:1" x14ac:dyDescent="0.2">
      <c r="A1183" s="5" t="str">
        <f t="shared" si="18"/>
        <v/>
      </c>
    </row>
    <row r="1184" spans="1:1" x14ac:dyDescent="0.2">
      <c r="A1184" s="5" t="str">
        <f t="shared" si="18"/>
        <v/>
      </c>
    </row>
    <row r="1185" spans="1:1" x14ac:dyDescent="0.2">
      <c r="A1185" s="5" t="str">
        <f t="shared" si="18"/>
        <v/>
      </c>
    </row>
    <row r="1186" spans="1:1" x14ac:dyDescent="0.2">
      <c r="A1186" s="5" t="str">
        <f t="shared" si="18"/>
        <v/>
      </c>
    </row>
    <row r="1187" spans="1:1" x14ac:dyDescent="0.2">
      <c r="A1187" s="5" t="str">
        <f t="shared" si="18"/>
        <v/>
      </c>
    </row>
    <row r="1188" spans="1:1" x14ac:dyDescent="0.2">
      <c r="A1188" s="5" t="str">
        <f t="shared" si="18"/>
        <v/>
      </c>
    </row>
    <row r="1189" spans="1:1" x14ac:dyDescent="0.2">
      <c r="A1189" s="5" t="str">
        <f t="shared" si="18"/>
        <v/>
      </c>
    </row>
    <row r="1190" spans="1:1" x14ac:dyDescent="0.2">
      <c r="A1190" s="5" t="str">
        <f t="shared" si="18"/>
        <v/>
      </c>
    </row>
    <row r="1191" spans="1:1" x14ac:dyDescent="0.2">
      <c r="A1191" s="5" t="str">
        <f t="shared" si="18"/>
        <v/>
      </c>
    </row>
    <row r="1192" spans="1:1" x14ac:dyDescent="0.2">
      <c r="A1192" s="5" t="str">
        <f t="shared" si="18"/>
        <v/>
      </c>
    </row>
    <row r="1193" spans="1:1" x14ac:dyDescent="0.2">
      <c r="A1193" s="5" t="str">
        <f t="shared" si="18"/>
        <v/>
      </c>
    </row>
    <row r="1194" spans="1:1" x14ac:dyDescent="0.2">
      <c r="A1194" s="5" t="str">
        <f t="shared" si="18"/>
        <v/>
      </c>
    </row>
    <row r="1195" spans="1:1" x14ac:dyDescent="0.2">
      <c r="A1195" s="5" t="str">
        <f t="shared" si="18"/>
        <v/>
      </c>
    </row>
    <row r="1196" spans="1:1" x14ac:dyDescent="0.2">
      <c r="A1196" s="5" t="str">
        <f t="shared" si="18"/>
        <v/>
      </c>
    </row>
    <row r="1197" spans="1:1" x14ac:dyDescent="0.2">
      <c r="A1197" s="5" t="str">
        <f t="shared" si="18"/>
        <v/>
      </c>
    </row>
    <row r="1198" spans="1:1" x14ac:dyDescent="0.2">
      <c r="A1198" s="5" t="str">
        <f t="shared" si="18"/>
        <v/>
      </c>
    </row>
    <row r="1199" spans="1:1" x14ac:dyDescent="0.2">
      <c r="A1199" s="5" t="str">
        <f t="shared" si="18"/>
        <v/>
      </c>
    </row>
    <row r="1200" spans="1:1" x14ac:dyDescent="0.2">
      <c r="A1200" s="5" t="str">
        <f t="shared" si="18"/>
        <v/>
      </c>
    </row>
    <row r="1201" spans="1:1" x14ac:dyDescent="0.2">
      <c r="A1201" s="5" t="str">
        <f t="shared" si="18"/>
        <v/>
      </c>
    </row>
    <row r="1202" spans="1:1" x14ac:dyDescent="0.2">
      <c r="A1202" s="5" t="str">
        <f t="shared" si="18"/>
        <v/>
      </c>
    </row>
    <row r="1203" spans="1:1" x14ac:dyDescent="0.2">
      <c r="A1203" s="5" t="str">
        <f t="shared" si="18"/>
        <v/>
      </c>
    </row>
    <row r="1204" spans="1:1" x14ac:dyDescent="0.2">
      <c r="A1204" s="5" t="str">
        <f t="shared" si="18"/>
        <v/>
      </c>
    </row>
    <row r="1205" spans="1:1" x14ac:dyDescent="0.2">
      <c r="A1205" s="5" t="str">
        <f t="shared" si="18"/>
        <v/>
      </c>
    </row>
    <row r="1206" spans="1:1" x14ac:dyDescent="0.2">
      <c r="A1206" s="5" t="str">
        <f t="shared" si="18"/>
        <v/>
      </c>
    </row>
    <row r="1207" spans="1:1" x14ac:dyDescent="0.2">
      <c r="A1207" s="5" t="str">
        <f t="shared" si="18"/>
        <v/>
      </c>
    </row>
    <row r="1208" spans="1:1" x14ac:dyDescent="0.2">
      <c r="A1208" s="5" t="str">
        <f t="shared" si="18"/>
        <v/>
      </c>
    </row>
    <row r="1209" spans="1:1" x14ac:dyDescent="0.2">
      <c r="A1209" s="5" t="str">
        <f t="shared" si="18"/>
        <v/>
      </c>
    </row>
    <row r="1210" spans="1:1" x14ac:dyDescent="0.2">
      <c r="A1210" s="5" t="str">
        <f t="shared" si="18"/>
        <v/>
      </c>
    </row>
    <row r="1211" spans="1:1" x14ac:dyDescent="0.2">
      <c r="A1211" s="5" t="str">
        <f t="shared" si="18"/>
        <v/>
      </c>
    </row>
    <row r="1212" spans="1:1" x14ac:dyDescent="0.2">
      <c r="A1212" s="5" t="str">
        <f t="shared" si="18"/>
        <v/>
      </c>
    </row>
    <row r="1213" spans="1:1" x14ac:dyDescent="0.2">
      <c r="A1213" s="5" t="str">
        <f t="shared" si="18"/>
        <v/>
      </c>
    </row>
    <row r="1214" spans="1:1" x14ac:dyDescent="0.2">
      <c r="A1214" s="5" t="str">
        <f t="shared" si="18"/>
        <v/>
      </c>
    </row>
    <row r="1215" spans="1:1" x14ac:dyDescent="0.2">
      <c r="A1215" s="5" t="str">
        <f t="shared" si="18"/>
        <v/>
      </c>
    </row>
    <row r="1216" spans="1:1" x14ac:dyDescent="0.2">
      <c r="A1216" s="5" t="str">
        <f t="shared" si="18"/>
        <v/>
      </c>
    </row>
    <row r="1217" spans="1:1" x14ac:dyDescent="0.2">
      <c r="A1217" s="5" t="str">
        <f t="shared" si="18"/>
        <v/>
      </c>
    </row>
    <row r="1218" spans="1:1" x14ac:dyDescent="0.2">
      <c r="A1218" s="5" t="str">
        <f t="shared" si="18"/>
        <v/>
      </c>
    </row>
    <row r="1219" spans="1:1" x14ac:dyDescent="0.2">
      <c r="A1219" s="5" t="str">
        <f t="shared" si="18"/>
        <v/>
      </c>
    </row>
    <row r="1220" spans="1:1" x14ac:dyDescent="0.2">
      <c r="A1220" s="5" t="str">
        <f t="shared" ref="A1220:A1283" si="19">IF(AND(B1219&lt;&gt;"",B1220=""),$A$2&amp;"---&gt;","")</f>
        <v/>
      </c>
    </row>
    <row r="1221" spans="1:1" x14ac:dyDescent="0.2">
      <c r="A1221" s="5" t="str">
        <f t="shared" si="19"/>
        <v/>
      </c>
    </row>
    <row r="1222" spans="1:1" x14ac:dyDescent="0.2">
      <c r="A1222" s="5" t="str">
        <f t="shared" si="19"/>
        <v/>
      </c>
    </row>
    <row r="1223" spans="1:1" x14ac:dyDescent="0.2">
      <c r="A1223" s="5" t="str">
        <f t="shared" si="19"/>
        <v/>
      </c>
    </row>
    <row r="1224" spans="1:1" x14ac:dyDescent="0.2">
      <c r="A1224" s="5" t="str">
        <f t="shared" si="19"/>
        <v/>
      </c>
    </row>
    <row r="1225" spans="1:1" x14ac:dyDescent="0.2">
      <c r="A1225" s="5" t="str">
        <f t="shared" si="19"/>
        <v/>
      </c>
    </row>
    <row r="1226" spans="1:1" x14ac:dyDescent="0.2">
      <c r="A1226" s="5" t="str">
        <f t="shared" si="19"/>
        <v/>
      </c>
    </row>
    <row r="1227" spans="1:1" x14ac:dyDescent="0.2">
      <c r="A1227" s="5" t="str">
        <f t="shared" si="19"/>
        <v/>
      </c>
    </row>
    <row r="1228" spans="1:1" x14ac:dyDescent="0.2">
      <c r="A1228" s="5" t="str">
        <f t="shared" si="19"/>
        <v/>
      </c>
    </row>
    <row r="1229" spans="1:1" x14ac:dyDescent="0.2">
      <c r="A1229" s="5" t="str">
        <f t="shared" si="19"/>
        <v/>
      </c>
    </row>
    <row r="1230" spans="1:1" x14ac:dyDescent="0.2">
      <c r="A1230" s="5" t="str">
        <f t="shared" si="19"/>
        <v/>
      </c>
    </row>
    <row r="1231" spans="1:1" x14ac:dyDescent="0.2">
      <c r="A1231" s="5" t="str">
        <f t="shared" si="19"/>
        <v/>
      </c>
    </row>
    <row r="1232" spans="1:1" x14ac:dyDescent="0.2">
      <c r="A1232" s="5" t="str">
        <f t="shared" si="19"/>
        <v/>
      </c>
    </row>
    <row r="1233" spans="1:1" x14ac:dyDescent="0.2">
      <c r="A1233" s="5" t="str">
        <f t="shared" si="19"/>
        <v/>
      </c>
    </row>
    <row r="1234" spans="1:1" x14ac:dyDescent="0.2">
      <c r="A1234" s="5" t="str">
        <f t="shared" si="19"/>
        <v/>
      </c>
    </row>
    <row r="1235" spans="1:1" x14ac:dyDescent="0.2">
      <c r="A1235" s="5" t="str">
        <f t="shared" si="19"/>
        <v/>
      </c>
    </row>
    <row r="1236" spans="1:1" x14ac:dyDescent="0.2">
      <c r="A1236" s="5" t="str">
        <f t="shared" si="19"/>
        <v/>
      </c>
    </row>
    <row r="1237" spans="1:1" x14ac:dyDescent="0.2">
      <c r="A1237" s="5" t="str">
        <f t="shared" si="19"/>
        <v/>
      </c>
    </row>
    <row r="1238" spans="1:1" x14ac:dyDescent="0.2">
      <c r="A1238" s="5" t="str">
        <f t="shared" si="19"/>
        <v/>
      </c>
    </row>
    <row r="1239" spans="1:1" x14ac:dyDescent="0.2">
      <c r="A1239" s="5" t="str">
        <f t="shared" si="19"/>
        <v/>
      </c>
    </row>
    <row r="1240" spans="1:1" x14ac:dyDescent="0.2">
      <c r="A1240" s="5" t="str">
        <f t="shared" si="19"/>
        <v/>
      </c>
    </row>
    <row r="1241" spans="1:1" x14ac:dyDescent="0.2">
      <c r="A1241" s="5" t="str">
        <f t="shared" si="19"/>
        <v/>
      </c>
    </row>
    <row r="1242" spans="1:1" x14ac:dyDescent="0.2">
      <c r="A1242" s="5" t="str">
        <f t="shared" si="19"/>
        <v/>
      </c>
    </row>
    <row r="1243" spans="1:1" x14ac:dyDescent="0.2">
      <c r="A1243" s="5" t="str">
        <f t="shared" si="19"/>
        <v/>
      </c>
    </row>
    <row r="1244" spans="1:1" x14ac:dyDescent="0.2">
      <c r="A1244" s="5" t="str">
        <f t="shared" si="19"/>
        <v/>
      </c>
    </row>
    <row r="1245" spans="1:1" x14ac:dyDescent="0.2">
      <c r="A1245" s="5" t="str">
        <f t="shared" si="19"/>
        <v/>
      </c>
    </row>
    <row r="1246" spans="1:1" x14ac:dyDescent="0.2">
      <c r="A1246" s="5" t="str">
        <f t="shared" si="19"/>
        <v/>
      </c>
    </row>
    <row r="1247" spans="1:1" x14ac:dyDescent="0.2">
      <c r="A1247" s="5" t="str">
        <f t="shared" si="19"/>
        <v/>
      </c>
    </row>
    <row r="1248" spans="1:1" x14ac:dyDescent="0.2">
      <c r="A1248" s="5" t="str">
        <f t="shared" si="19"/>
        <v/>
      </c>
    </row>
    <row r="1249" spans="1:1" x14ac:dyDescent="0.2">
      <c r="A1249" s="5" t="str">
        <f t="shared" si="19"/>
        <v/>
      </c>
    </row>
    <row r="1250" spans="1:1" x14ac:dyDescent="0.2">
      <c r="A1250" s="5" t="str">
        <f t="shared" si="19"/>
        <v/>
      </c>
    </row>
    <row r="1251" spans="1:1" x14ac:dyDescent="0.2">
      <c r="A1251" s="5" t="str">
        <f t="shared" si="19"/>
        <v/>
      </c>
    </row>
    <row r="1252" spans="1:1" x14ac:dyDescent="0.2">
      <c r="A1252" s="5" t="str">
        <f t="shared" si="19"/>
        <v/>
      </c>
    </row>
    <row r="1253" spans="1:1" x14ac:dyDescent="0.2">
      <c r="A1253" s="5" t="str">
        <f t="shared" si="19"/>
        <v/>
      </c>
    </row>
    <row r="1254" spans="1:1" x14ac:dyDescent="0.2">
      <c r="A1254" s="5" t="str">
        <f t="shared" si="19"/>
        <v/>
      </c>
    </row>
    <row r="1255" spans="1:1" x14ac:dyDescent="0.2">
      <c r="A1255" s="5" t="str">
        <f t="shared" si="19"/>
        <v/>
      </c>
    </row>
    <row r="1256" spans="1:1" x14ac:dyDescent="0.2">
      <c r="A1256" s="5" t="str">
        <f t="shared" si="19"/>
        <v/>
      </c>
    </row>
    <row r="1257" spans="1:1" x14ac:dyDescent="0.2">
      <c r="A1257" s="5" t="str">
        <f t="shared" si="19"/>
        <v/>
      </c>
    </row>
    <row r="1258" spans="1:1" x14ac:dyDescent="0.2">
      <c r="A1258" s="5" t="str">
        <f t="shared" si="19"/>
        <v/>
      </c>
    </row>
    <row r="1259" spans="1:1" x14ac:dyDescent="0.2">
      <c r="A1259" s="5" t="str">
        <f t="shared" si="19"/>
        <v/>
      </c>
    </row>
    <row r="1260" spans="1:1" x14ac:dyDescent="0.2">
      <c r="A1260" s="5" t="str">
        <f t="shared" si="19"/>
        <v/>
      </c>
    </row>
    <row r="1261" spans="1:1" x14ac:dyDescent="0.2">
      <c r="A1261" s="5" t="str">
        <f t="shared" si="19"/>
        <v/>
      </c>
    </row>
    <row r="1262" spans="1:1" x14ac:dyDescent="0.2">
      <c r="A1262" s="5" t="str">
        <f t="shared" si="19"/>
        <v/>
      </c>
    </row>
    <row r="1263" spans="1:1" x14ac:dyDescent="0.2">
      <c r="A1263" s="5" t="str">
        <f t="shared" si="19"/>
        <v/>
      </c>
    </row>
    <row r="1264" spans="1:1" x14ac:dyDescent="0.2">
      <c r="A1264" s="5" t="str">
        <f t="shared" si="19"/>
        <v/>
      </c>
    </row>
    <row r="1265" spans="1:1" x14ac:dyDescent="0.2">
      <c r="A1265" s="5" t="str">
        <f t="shared" si="19"/>
        <v/>
      </c>
    </row>
    <row r="1266" spans="1:1" x14ac:dyDescent="0.2">
      <c r="A1266" s="5" t="str">
        <f t="shared" si="19"/>
        <v/>
      </c>
    </row>
    <row r="1267" spans="1:1" x14ac:dyDescent="0.2">
      <c r="A1267" s="5" t="str">
        <f t="shared" si="19"/>
        <v/>
      </c>
    </row>
    <row r="1268" spans="1:1" x14ac:dyDescent="0.2">
      <c r="A1268" s="5" t="str">
        <f t="shared" si="19"/>
        <v/>
      </c>
    </row>
    <row r="1269" spans="1:1" x14ac:dyDescent="0.2">
      <c r="A1269" s="5" t="str">
        <f t="shared" si="19"/>
        <v/>
      </c>
    </row>
    <row r="1270" spans="1:1" x14ac:dyDescent="0.2">
      <c r="A1270" s="5" t="str">
        <f t="shared" si="19"/>
        <v/>
      </c>
    </row>
    <row r="1271" spans="1:1" x14ac:dyDescent="0.2">
      <c r="A1271" s="5" t="str">
        <f t="shared" si="19"/>
        <v/>
      </c>
    </row>
    <row r="1272" spans="1:1" x14ac:dyDescent="0.2">
      <c r="A1272" s="5" t="str">
        <f t="shared" si="19"/>
        <v/>
      </c>
    </row>
    <row r="1273" spans="1:1" x14ac:dyDescent="0.2">
      <c r="A1273" s="5" t="str">
        <f t="shared" si="19"/>
        <v/>
      </c>
    </row>
    <row r="1274" spans="1:1" x14ac:dyDescent="0.2">
      <c r="A1274" s="5" t="str">
        <f t="shared" si="19"/>
        <v/>
      </c>
    </row>
    <row r="1275" spans="1:1" x14ac:dyDescent="0.2">
      <c r="A1275" s="5" t="str">
        <f t="shared" si="19"/>
        <v/>
      </c>
    </row>
    <row r="1276" spans="1:1" x14ac:dyDescent="0.2">
      <c r="A1276" s="5" t="str">
        <f t="shared" si="19"/>
        <v/>
      </c>
    </row>
    <row r="1277" spans="1:1" x14ac:dyDescent="0.2">
      <c r="A1277" s="5" t="str">
        <f t="shared" si="19"/>
        <v/>
      </c>
    </row>
    <row r="1278" spans="1:1" x14ac:dyDescent="0.2">
      <c r="A1278" s="5" t="str">
        <f t="shared" si="19"/>
        <v/>
      </c>
    </row>
    <row r="1279" spans="1:1" x14ac:dyDescent="0.2">
      <c r="A1279" s="5" t="str">
        <f t="shared" si="19"/>
        <v/>
      </c>
    </row>
    <row r="1280" spans="1:1" x14ac:dyDescent="0.2">
      <c r="A1280" s="5" t="str">
        <f t="shared" si="19"/>
        <v/>
      </c>
    </row>
    <row r="1281" spans="1:1" x14ac:dyDescent="0.2">
      <c r="A1281" s="5" t="str">
        <f t="shared" si="19"/>
        <v/>
      </c>
    </row>
    <row r="1282" spans="1:1" x14ac:dyDescent="0.2">
      <c r="A1282" s="5" t="str">
        <f t="shared" si="19"/>
        <v/>
      </c>
    </row>
    <row r="1283" spans="1:1" x14ac:dyDescent="0.2">
      <c r="A1283" s="5" t="str">
        <f t="shared" si="19"/>
        <v/>
      </c>
    </row>
    <row r="1284" spans="1:1" x14ac:dyDescent="0.2">
      <c r="A1284" s="5" t="str">
        <f t="shared" ref="A1284:A1347" si="20">IF(AND(B1283&lt;&gt;"",B1284=""),$A$2&amp;"---&gt;","")</f>
        <v/>
      </c>
    </row>
    <row r="1285" spans="1:1" x14ac:dyDescent="0.2">
      <c r="A1285" s="5" t="str">
        <f t="shared" si="20"/>
        <v/>
      </c>
    </row>
    <row r="1286" spans="1:1" x14ac:dyDescent="0.2">
      <c r="A1286" s="5" t="str">
        <f t="shared" si="20"/>
        <v/>
      </c>
    </row>
    <row r="1287" spans="1:1" x14ac:dyDescent="0.2">
      <c r="A1287" s="5" t="str">
        <f t="shared" si="20"/>
        <v/>
      </c>
    </row>
    <row r="1288" spans="1:1" x14ac:dyDescent="0.2">
      <c r="A1288" s="5" t="str">
        <f t="shared" si="20"/>
        <v/>
      </c>
    </row>
    <row r="1289" spans="1:1" x14ac:dyDescent="0.2">
      <c r="A1289" s="5" t="str">
        <f t="shared" si="20"/>
        <v/>
      </c>
    </row>
    <row r="1290" spans="1:1" x14ac:dyDescent="0.2">
      <c r="A1290" s="5" t="str">
        <f t="shared" si="20"/>
        <v/>
      </c>
    </row>
    <row r="1291" spans="1:1" x14ac:dyDescent="0.2">
      <c r="A1291" s="5" t="str">
        <f t="shared" si="20"/>
        <v/>
      </c>
    </row>
    <row r="1292" spans="1:1" x14ac:dyDescent="0.2">
      <c r="A1292" s="5" t="str">
        <f t="shared" si="20"/>
        <v/>
      </c>
    </row>
    <row r="1293" spans="1:1" x14ac:dyDescent="0.2">
      <c r="A1293" s="5" t="str">
        <f t="shared" si="20"/>
        <v/>
      </c>
    </row>
    <row r="1294" spans="1:1" x14ac:dyDescent="0.2">
      <c r="A1294" s="5" t="str">
        <f t="shared" si="20"/>
        <v/>
      </c>
    </row>
    <row r="1295" spans="1:1" x14ac:dyDescent="0.2">
      <c r="A1295" s="5" t="str">
        <f t="shared" si="20"/>
        <v/>
      </c>
    </row>
    <row r="1296" spans="1:1" x14ac:dyDescent="0.2">
      <c r="A1296" s="5" t="str">
        <f t="shared" si="20"/>
        <v/>
      </c>
    </row>
    <row r="1297" spans="1:1" x14ac:dyDescent="0.2">
      <c r="A1297" s="5" t="str">
        <f t="shared" si="20"/>
        <v/>
      </c>
    </row>
    <row r="1298" spans="1:1" x14ac:dyDescent="0.2">
      <c r="A1298" s="5" t="str">
        <f t="shared" si="20"/>
        <v/>
      </c>
    </row>
    <row r="1299" spans="1:1" x14ac:dyDescent="0.2">
      <c r="A1299" s="5" t="str">
        <f t="shared" si="20"/>
        <v/>
      </c>
    </row>
    <row r="1300" spans="1:1" x14ac:dyDescent="0.2">
      <c r="A1300" s="5" t="str">
        <f t="shared" si="20"/>
        <v/>
      </c>
    </row>
    <row r="1301" spans="1:1" x14ac:dyDescent="0.2">
      <c r="A1301" s="5" t="str">
        <f t="shared" si="20"/>
        <v/>
      </c>
    </row>
    <row r="1302" spans="1:1" x14ac:dyDescent="0.2">
      <c r="A1302" s="5" t="str">
        <f t="shared" si="20"/>
        <v/>
      </c>
    </row>
    <row r="1303" spans="1:1" x14ac:dyDescent="0.2">
      <c r="A1303" s="5" t="str">
        <f t="shared" si="20"/>
        <v/>
      </c>
    </row>
    <row r="1304" spans="1:1" x14ac:dyDescent="0.2">
      <c r="A1304" s="5" t="str">
        <f t="shared" si="20"/>
        <v/>
      </c>
    </row>
    <row r="1305" spans="1:1" x14ac:dyDescent="0.2">
      <c r="A1305" s="5" t="str">
        <f t="shared" si="20"/>
        <v/>
      </c>
    </row>
    <row r="1306" spans="1:1" x14ac:dyDescent="0.2">
      <c r="A1306" s="5" t="str">
        <f t="shared" si="20"/>
        <v/>
      </c>
    </row>
    <row r="1307" spans="1:1" x14ac:dyDescent="0.2">
      <c r="A1307" s="5" t="str">
        <f t="shared" si="20"/>
        <v/>
      </c>
    </row>
    <row r="1308" spans="1:1" x14ac:dyDescent="0.2">
      <c r="A1308" s="5" t="str">
        <f t="shared" si="20"/>
        <v/>
      </c>
    </row>
    <row r="1309" spans="1:1" x14ac:dyDescent="0.2">
      <c r="A1309" s="5" t="str">
        <f t="shared" si="20"/>
        <v/>
      </c>
    </row>
    <row r="1310" spans="1:1" x14ac:dyDescent="0.2">
      <c r="A1310" s="5" t="str">
        <f t="shared" si="20"/>
        <v/>
      </c>
    </row>
    <row r="1311" spans="1:1" x14ac:dyDescent="0.2">
      <c r="A1311" s="5" t="str">
        <f t="shared" si="20"/>
        <v/>
      </c>
    </row>
    <row r="1312" spans="1:1" x14ac:dyDescent="0.2">
      <c r="A1312" s="5" t="str">
        <f t="shared" si="20"/>
        <v/>
      </c>
    </row>
    <row r="1313" spans="1:1" x14ac:dyDescent="0.2">
      <c r="A1313" s="5" t="str">
        <f t="shared" si="20"/>
        <v/>
      </c>
    </row>
    <row r="1314" spans="1:1" x14ac:dyDescent="0.2">
      <c r="A1314" s="5" t="str">
        <f t="shared" si="20"/>
        <v/>
      </c>
    </row>
    <row r="1315" spans="1:1" x14ac:dyDescent="0.2">
      <c r="A1315" s="5" t="str">
        <f t="shared" si="20"/>
        <v/>
      </c>
    </row>
    <row r="1316" spans="1:1" x14ac:dyDescent="0.2">
      <c r="A1316" s="5" t="str">
        <f t="shared" si="20"/>
        <v/>
      </c>
    </row>
    <row r="1317" spans="1:1" x14ac:dyDescent="0.2">
      <c r="A1317" s="5" t="str">
        <f t="shared" si="20"/>
        <v/>
      </c>
    </row>
    <row r="1318" spans="1:1" x14ac:dyDescent="0.2">
      <c r="A1318" s="5" t="str">
        <f t="shared" si="20"/>
        <v/>
      </c>
    </row>
    <row r="1319" spans="1:1" x14ac:dyDescent="0.2">
      <c r="A1319" s="5" t="str">
        <f t="shared" si="20"/>
        <v/>
      </c>
    </row>
    <row r="1320" spans="1:1" x14ac:dyDescent="0.2">
      <c r="A1320" s="5" t="str">
        <f t="shared" si="20"/>
        <v/>
      </c>
    </row>
    <row r="1321" spans="1:1" x14ac:dyDescent="0.2">
      <c r="A1321" s="5" t="str">
        <f t="shared" si="20"/>
        <v/>
      </c>
    </row>
    <row r="1322" spans="1:1" x14ac:dyDescent="0.2">
      <c r="A1322" s="5" t="str">
        <f t="shared" si="20"/>
        <v/>
      </c>
    </row>
    <row r="1323" spans="1:1" x14ac:dyDescent="0.2">
      <c r="A1323" s="5" t="str">
        <f t="shared" si="20"/>
        <v/>
      </c>
    </row>
    <row r="1324" spans="1:1" x14ac:dyDescent="0.2">
      <c r="A1324" s="5" t="str">
        <f t="shared" si="20"/>
        <v/>
      </c>
    </row>
    <row r="1325" spans="1:1" x14ac:dyDescent="0.2">
      <c r="A1325" s="5" t="str">
        <f t="shared" si="20"/>
        <v/>
      </c>
    </row>
    <row r="1326" spans="1:1" x14ac:dyDescent="0.2">
      <c r="A1326" s="5" t="str">
        <f t="shared" si="20"/>
        <v/>
      </c>
    </row>
    <row r="1327" spans="1:1" x14ac:dyDescent="0.2">
      <c r="A1327" s="5" t="str">
        <f t="shared" si="20"/>
        <v/>
      </c>
    </row>
    <row r="1328" spans="1:1" x14ac:dyDescent="0.2">
      <c r="A1328" s="5" t="str">
        <f t="shared" si="20"/>
        <v/>
      </c>
    </row>
    <row r="1329" spans="1:1" x14ac:dyDescent="0.2">
      <c r="A1329" s="5" t="str">
        <f t="shared" si="20"/>
        <v/>
      </c>
    </row>
    <row r="1330" spans="1:1" x14ac:dyDescent="0.2">
      <c r="A1330" s="5" t="str">
        <f t="shared" si="20"/>
        <v/>
      </c>
    </row>
    <row r="1331" spans="1:1" x14ac:dyDescent="0.2">
      <c r="A1331" s="5" t="str">
        <f t="shared" si="20"/>
        <v/>
      </c>
    </row>
    <row r="1332" spans="1:1" x14ac:dyDescent="0.2">
      <c r="A1332" s="5" t="str">
        <f t="shared" si="20"/>
        <v/>
      </c>
    </row>
    <row r="1333" spans="1:1" x14ac:dyDescent="0.2">
      <c r="A1333" s="5" t="str">
        <f t="shared" si="20"/>
        <v/>
      </c>
    </row>
    <row r="1334" spans="1:1" x14ac:dyDescent="0.2">
      <c r="A1334" s="5" t="str">
        <f t="shared" si="20"/>
        <v/>
      </c>
    </row>
    <row r="1335" spans="1:1" x14ac:dyDescent="0.2">
      <c r="A1335" s="5" t="str">
        <f t="shared" si="20"/>
        <v/>
      </c>
    </row>
    <row r="1336" spans="1:1" x14ac:dyDescent="0.2">
      <c r="A1336" s="5" t="str">
        <f t="shared" si="20"/>
        <v/>
      </c>
    </row>
    <row r="1337" spans="1:1" x14ac:dyDescent="0.2">
      <c r="A1337" s="5" t="str">
        <f t="shared" si="20"/>
        <v/>
      </c>
    </row>
    <row r="1338" spans="1:1" x14ac:dyDescent="0.2">
      <c r="A1338" s="5" t="str">
        <f t="shared" si="20"/>
        <v/>
      </c>
    </row>
    <row r="1339" spans="1:1" x14ac:dyDescent="0.2">
      <c r="A1339" s="5" t="str">
        <f t="shared" si="20"/>
        <v/>
      </c>
    </row>
    <row r="1340" spans="1:1" x14ac:dyDescent="0.2">
      <c r="A1340" s="5" t="str">
        <f t="shared" si="20"/>
        <v/>
      </c>
    </row>
    <row r="1341" spans="1:1" x14ac:dyDescent="0.2">
      <c r="A1341" s="5" t="str">
        <f t="shared" si="20"/>
        <v/>
      </c>
    </row>
    <row r="1342" spans="1:1" x14ac:dyDescent="0.2">
      <c r="A1342" s="5" t="str">
        <f t="shared" si="20"/>
        <v/>
      </c>
    </row>
    <row r="1343" spans="1:1" x14ac:dyDescent="0.2">
      <c r="A1343" s="5" t="str">
        <f t="shared" si="20"/>
        <v/>
      </c>
    </row>
    <row r="1344" spans="1:1" x14ac:dyDescent="0.2">
      <c r="A1344" s="5" t="str">
        <f t="shared" si="20"/>
        <v/>
      </c>
    </row>
    <row r="1345" spans="1:1" x14ac:dyDescent="0.2">
      <c r="A1345" s="5" t="str">
        <f t="shared" si="20"/>
        <v/>
      </c>
    </row>
    <row r="1346" spans="1:1" x14ac:dyDescent="0.2">
      <c r="A1346" s="5" t="str">
        <f t="shared" si="20"/>
        <v/>
      </c>
    </row>
    <row r="1347" spans="1:1" x14ac:dyDescent="0.2">
      <c r="A1347" s="5" t="str">
        <f t="shared" si="20"/>
        <v/>
      </c>
    </row>
    <row r="1348" spans="1:1" x14ac:dyDescent="0.2">
      <c r="A1348" s="5" t="str">
        <f t="shared" ref="A1348:A1411" si="21">IF(AND(B1347&lt;&gt;"",B1348=""),$A$2&amp;"---&gt;","")</f>
        <v/>
      </c>
    </row>
    <row r="1349" spans="1:1" x14ac:dyDescent="0.2">
      <c r="A1349" s="5" t="str">
        <f t="shared" si="21"/>
        <v/>
      </c>
    </row>
    <row r="1350" spans="1:1" x14ac:dyDescent="0.2">
      <c r="A1350" s="5" t="str">
        <f t="shared" si="21"/>
        <v/>
      </c>
    </row>
    <row r="1351" spans="1:1" x14ac:dyDescent="0.2">
      <c r="A1351" s="5" t="str">
        <f t="shared" si="21"/>
        <v/>
      </c>
    </row>
    <row r="1352" spans="1:1" x14ac:dyDescent="0.2">
      <c r="A1352" s="5" t="str">
        <f t="shared" si="21"/>
        <v/>
      </c>
    </row>
    <row r="1353" spans="1:1" x14ac:dyDescent="0.2">
      <c r="A1353" s="5" t="str">
        <f t="shared" si="21"/>
        <v/>
      </c>
    </row>
    <row r="1354" spans="1:1" x14ac:dyDescent="0.2">
      <c r="A1354" s="5" t="str">
        <f t="shared" si="21"/>
        <v/>
      </c>
    </row>
    <row r="1355" spans="1:1" x14ac:dyDescent="0.2">
      <c r="A1355" s="5" t="str">
        <f t="shared" si="21"/>
        <v/>
      </c>
    </row>
    <row r="1356" spans="1:1" x14ac:dyDescent="0.2">
      <c r="A1356" s="5" t="str">
        <f t="shared" si="21"/>
        <v/>
      </c>
    </row>
    <row r="1357" spans="1:1" x14ac:dyDescent="0.2">
      <c r="A1357" s="5" t="str">
        <f t="shared" si="21"/>
        <v/>
      </c>
    </row>
    <row r="1358" spans="1:1" x14ac:dyDescent="0.2">
      <c r="A1358" s="5" t="str">
        <f t="shared" si="21"/>
        <v/>
      </c>
    </row>
    <row r="1359" spans="1:1" x14ac:dyDescent="0.2">
      <c r="A1359" s="5" t="str">
        <f t="shared" si="21"/>
        <v/>
      </c>
    </row>
    <row r="1360" spans="1:1" x14ac:dyDescent="0.2">
      <c r="A1360" s="5" t="str">
        <f t="shared" si="21"/>
        <v/>
      </c>
    </row>
    <row r="1361" spans="1:1" x14ac:dyDescent="0.2">
      <c r="A1361" s="5" t="str">
        <f t="shared" si="21"/>
        <v/>
      </c>
    </row>
    <row r="1362" spans="1:1" x14ac:dyDescent="0.2">
      <c r="A1362" s="5" t="str">
        <f t="shared" si="21"/>
        <v/>
      </c>
    </row>
    <row r="1363" spans="1:1" x14ac:dyDescent="0.2">
      <c r="A1363" s="5" t="str">
        <f t="shared" si="21"/>
        <v/>
      </c>
    </row>
    <row r="1364" spans="1:1" x14ac:dyDescent="0.2">
      <c r="A1364" s="5" t="str">
        <f t="shared" si="21"/>
        <v/>
      </c>
    </row>
    <row r="1365" spans="1:1" x14ac:dyDescent="0.2">
      <c r="A1365" s="5" t="str">
        <f t="shared" si="21"/>
        <v/>
      </c>
    </row>
    <row r="1366" spans="1:1" x14ac:dyDescent="0.2">
      <c r="A1366" s="5" t="str">
        <f t="shared" si="21"/>
        <v/>
      </c>
    </row>
    <row r="1367" spans="1:1" x14ac:dyDescent="0.2">
      <c r="A1367" s="5" t="str">
        <f t="shared" si="21"/>
        <v/>
      </c>
    </row>
    <row r="1368" spans="1:1" x14ac:dyDescent="0.2">
      <c r="A1368" s="5" t="str">
        <f t="shared" si="21"/>
        <v/>
      </c>
    </row>
    <row r="1369" spans="1:1" x14ac:dyDescent="0.2">
      <c r="A1369" s="5" t="str">
        <f t="shared" si="21"/>
        <v/>
      </c>
    </row>
    <row r="1370" spans="1:1" x14ac:dyDescent="0.2">
      <c r="A1370" s="5" t="str">
        <f t="shared" si="21"/>
        <v/>
      </c>
    </row>
    <row r="1371" spans="1:1" x14ac:dyDescent="0.2">
      <c r="A1371" s="5" t="str">
        <f t="shared" si="21"/>
        <v/>
      </c>
    </row>
    <row r="1372" spans="1:1" x14ac:dyDescent="0.2">
      <c r="A1372" s="5" t="str">
        <f t="shared" si="21"/>
        <v/>
      </c>
    </row>
    <row r="1373" spans="1:1" x14ac:dyDescent="0.2">
      <c r="A1373" s="5" t="str">
        <f t="shared" si="21"/>
        <v/>
      </c>
    </row>
    <row r="1374" spans="1:1" x14ac:dyDescent="0.2">
      <c r="A1374" s="5" t="str">
        <f t="shared" si="21"/>
        <v/>
      </c>
    </row>
    <row r="1375" spans="1:1" x14ac:dyDescent="0.2">
      <c r="A1375" s="5" t="str">
        <f t="shared" si="21"/>
        <v/>
      </c>
    </row>
    <row r="1376" spans="1:1" x14ac:dyDescent="0.2">
      <c r="A1376" s="5" t="str">
        <f t="shared" si="21"/>
        <v/>
      </c>
    </row>
    <row r="1377" spans="1:1" x14ac:dyDescent="0.2">
      <c r="A1377" s="5" t="str">
        <f t="shared" si="21"/>
        <v/>
      </c>
    </row>
    <row r="1378" spans="1:1" x14ac:dyDescent="0.2">
      <c r="A1378" s="5" t="str">
        <f t="shared" si="21"/>
        <v/>
      </c>
    </row>
    <row r="1379" spans="1:1" x14ac:dyDescent="0.2">
      <c r="A1379" s="5" t="str">
        <f t="shared" si="21"/>
        <v/>
      </c>
    </row>
    <row r="1380" spans="1:1" x14ac:dyDescent="0.2">
      <c r="A1380" s="5" t="str">
        <f t="shared" si="21"/>
        <v/>
      </c>
    </row>
    <row r="1381" spans="1:1" x14ac:dyDescent="0.2">
      <c r="A1381" s="5" t="str">
        <f t="shared" si="21"/>
        <v/>
      </c>
    </row>
    <row r="1382" spans="1:1" x14ac:dyDescent="0.2">
      <c r="A1382" s="5" t="str">
        <f t="shared" si="21"/>
        <v/>
      </c>
    </row>
    <row r="1383" spans="1:1" x14ac:dyDescent="0.2">
      <c r="A1383" s="5" t="str">
        <f t="shared" si="21"/>
        <v/>
      </c>
    </row>
    <row r="1384" spans="1:1" x14ac:dyDescent="0.2">
      <c r="A1384" s="5" t="str">
        <f t="shared" si="21"/>
        <v/>
      </c>
    </row>
    <row r="1385" spans="1:1" x14ac:dyDescent="0.2">
      <c r="A1385" s="5" t="str">
        <f t="shared" si="21"/>
        <v/>
      </c>
    </row>
    <row r="1386" spans="1:1" x14ac:dyDescent="0.2">
      <c r="A1386" s="5" t="str">
        <f t="shared" si="21"/>
        <v/>
      </c>
    </row>
    <row r="1387" spans="1:1" x14ac:dyDescent="0.2">
      <c r="A1387" s="5" t="str">
        <f t="shared" si="21"/>
        <v/>
      </c>
    </row>
    <row r="1388" spans="1:1" x14ac:dyDescent="0.2">
      <c r="A1388" s="5" t="str">
        <f t="shared" si="21"/>
        <v/>
      </c>
    </row>
    <row r="1389" spans="1:1" x14ac:dyDescent="0.2">
      <c r="A1389" s="5" t="str">
        <f t="shared" si="21"/>
        <v/>
      </c>
    </row>
    <row r="1390" spans="1:1" x14ac:dyDescent="0.2">
      <c r="A1390" s="5" t="str">
        <f t="shared" si="21"/>
        <v/>
      </c>
    </row>
    <row r="1391" spans="1:1" x14ac:dyDescent="0.2">
      <c r="A1391" s="5" t="str">
        <f t="shared" si="21"/>
        <v/>
      </c>
    </row>
    <row r="1392" spans="1:1" x14ac:dyDescent="0.2">
      <c r="A1392" s="5" t="str">
        <f t="shared" si="21"/>
        <v/>
      </c>
    </row>
    <row r="1393" spans="1:1" x14ac:dyDescent="0.2">
      <c r="A1393" s="5" t="str">
        <f t="shared" si="21"/>
        <v/>
      </c>
    </row>
    <row r="1394" spans="1:1" x14ac:dyDescent="0.2">
      <c r="A1394" s="5" t="str">
        <f t="shared" si="21"/>
        <v/>
      </c>
    </row>
    <row r="1395" spans="1:1" x14ac:dyDescent="0.2">
      <c r="A1395" s="5" t="str">
        <f t="shared" si="21"/>
        <v/>
      </c>
    </row>
    <row r="1396" spans="1:1" x14ac:dyDescent="0.2">
      <c r="A1396" s="5" t="str">
        <f t="shared" si="21"/>
        <v/>
      </c>
    </row>
    <row r="1397" spans="1:1" x14ac:dyDescent="0.2">
      <c r="A1397" s="5" t="str">
        <f t="shared" si="21"/>
        <v/>
      </c>
    </row>
    <row r="1398" spans="1:1" x14ac:dyDescent="0.2">
      <c r="A1398" s="5" t="str">
        <f t="shared" si="21"/>
        <v/>
      </c>
    </row>
    <row r="1399" spans="1:1" x14ac:dyDescent="0.2">
      <c r="A1399" s="5" t="str">
        <f t="shared" si="21"/>
        <v/>
      </c>
    </row>
    <row r="1400" spans="1:1" x14ac:dyDescent="0.2">
      <c r="A1400" s="5" t="str">
        <f t="shared" si="21"/>
        <v/>
      </c>
    </row>
    <row r="1401" spans="1:1" x14ac:dyDescent="0.2">
      <c r="A1401" s="5" t="str">
        <f t="shared" si="21"/>
        <v/>
      </c>
    </row>
    <row r="1402" spans="1:1" x14ac:dyDescent="0.2">
      <c r="A1402" s="5" t="str">
        <f t="shared" si="21"/>
        <v/>
      </c>
    </row>
    <row r="1403" spans="1:1" x14ac:dyDescent="0.2">
      <c r="A1403" s="5" t="str">
        <f t="shared" si="21"/>
        <v/>
      </c>
    </row>
    <row r="1404" spans="1:1" x14ac:dyDescent="0.2">
      <c r="A1404" s="5" t="str">
        <f t="shared" si="21"/>
        <v/>
      </c>
    </row>
    <row r="1405" spans="1:1" x14ac:dyDescent="0.2">
      <c r="A1405" s="5" t="str">
        <f t="shared" si="21"/>
        <v/>
      </c>
    </row>
    <row r="1406" spans="1:1" x14ac:dyDescent="0.2">
      <c r="A1406" s="5" t="str">
        <f t="shared" si="21"/>
        <v/>
      </c>
    </row>
    <row r="1407" spans="1:1" x14ac:dyDescent="0.2">
      <c r="A1407" s="5" t="str">
        <f t="shared" si="21"/>
        <v/>
      </c>
    </row>
    <row r="1408" spans="1:1" x14ac:dyDescent="0.2">
      <c r="A1408" s="5" t="str">
        <f t="shared" si="21"/>
        <v/>
      </c>
    </row>
    <row r="1409" spans="1:1" x14ac:dyDescent="0.2">
      <c r="A1409" s="5" t="str">
        <f t="shared" si="21"/>
        <v/>
      </c>
    </row>
    <row r="1410" spans="1:1" x14ac:dyDescent="0.2">
      <c r="A1410" s="5" t="str">
        <f t="shared" si="21"/>
        <v/>
      </c>
    </row>
    <row r="1411" spans="1:1" x14ac:dyDescent="0.2">
      <c r="A1411" s="5" t="str">
        <f t="shared" si="21"/>
        <v/>
      </c>
    </row>
    <row r="1412" spans="1:1" x14ac:dyDescent="0.2">
      <c r="A1412" s="5" t="str">
        <f t="shared" ref="A1412:A1475" si="22">IF(AND(B1411&lt;&gt;"",B1412=""),$A$2&amp;"---&gt;","")</f>
        <v/>
      </c>
    </row>
    <row r="1413" spans="1:1" x14ac:dyDescent="0.2">
      <c r="A1413" s="5" t="str">
        <f t="shared" si="22"/>
        <v/>
      </c>
    </row>
    <row r="1414" spans="1:1" x14ac:dyDescent="0.2">
      <c r="A1414" s="5" t="str">
        <f t="shared" si="22"/>
        <v/>
      </c>
    </row>
    <row r="1415" spans="1:1" x14ac:dyDescent="0.2">
      <c r="A1415" s="5" t="str">
        <f t="shared" si="22"/>
        <v/>
      </c>
    </row>
    <row r="1416" spans="1:1" x14ac:dyDescent="0.2">
      <c r="A1416" s="5" t="str">
        <f t="shared" si="22"/>
        <v/>
      </c>
    </row>
    <row r="1417" spans="1:1" x14ac:dyDescent="0.2">
      <c r="A1417" s="5" t="str">
        <f t="shared" si="22"/>
        <v/>
      </c>
    </row>
    <row r="1418" spans="1:1" x14ac:dyDescent="0.2">
      <c r="A1418" s="5" t="str">
        <f t="shared" si="22"/>
        <v/>
      </c>
    </row>
    <row r="1419" spans="1:1" x14ac:dyDescent="0.2">
      <c r="A1419" s="5" t="str">
        <f t="shared" si="22"/>
        <v/>
      </c>
    </row>
    <row r="1420" spans="1:1" x14ac:dyDescent="0.2">
      <c r="A1420" s="5" t="str">
        <f t="shared" si="22"/>
        <v/>
      </c>
    </row>
    <row r="1421" spans="1:1" x14ac:dyDescent="0.2">
      <c r="A1421" s="5" t="str">
        <f t="shared" si="22"/>
        <v/>
      </c>
    </row>
    <row r="1422" spans="1:1" x14ac:dyDescent="0.2">
      <c r="A1422" s="5" t="str">
        <f t="shared" si="22"/>
        <v/>
      </c>
    </row>
    <row r="1423" spans="1:1" x14ac:dyDescent="0.2">
      <c r="A1423" s="5" t="str">
        <f t="shared" si="22"/>
        <v/>
      </c>
    </row>
    <row r="1424" spans="1:1" x14ac:dyDescent="0.2">
      <c r="A1424" s="5" t="str">
        <f t="shared" si="22"/>
        <v/>
      </c>
    </row>
    <row r="1425" spans="1:1" x14ac:dyDescent="0.2">
      <c r="A1425" s="5" t="str">
        <f t="shared" si="22"/>
        <v/>
      </c>
    </row>
    <row r="1426" spans="1:1" x14ac:dyDescent="0.2">
      <c r="A1426" s="5" t="str">
        <f t="shared" si="22"/>
        <v/>
      </c>
    </row>
    <row r="1427" spans="1:1" x14ac:dyDescent="0.2">
      <c r="A1427" s="5" t="str">
        <f t="shared" si="22"/>
        <v/>
      </c>
    </row>
    <row r="1428" spans="1:1" x14ac:dyDescent="0.2">
      <c r="A1428" s="5" t="str">
        <f t="shared" si="22"/>
        <v/>
      </c>
    </row>
    <row r="1429" spans="1:1" x14ac:dyDescent="0.2">
      <c r="A1429" s="5" t="str">
        <f t="shared" si="22"/>
        <v/>
      </c>
    </row>
    <row r="1430" spans="1:1" x14ac:dyDescent="0.2">
      <c r="A1430" s="5" t="str">
        <f t="shared" si="22"/>
        <v/>
      </c>
    </row>
    <row r="1431" spans="1:1" x14ac:dyDescent="0.2">
      <c r="A1431" s="5" t="str">
        <f t="shared" si="22"/>
        <v/>
      </c>
    </row>
    <row r="1432" spans="1:1" x14ac:dyDescent="0.2">
      <c r="A1432" s="5" t="str">
        <f t="shared" si="22"/>
        <v/>
      </c>
    </row>
    <row r="1433" spans="1:1" x14ac:dyDescent="0.2">
      <c r="A1433" s="5" t="str">
        <f t="shared" si="22"/>
        <v/>
      </c>
    </row>
    <row r="1434" spans="1:1" x14ac:dyDescent="0.2">
      <c r="A1434" s="5" t="str">
        <f t="shared" si="22"/>
        <v/>
      </c>
    </row>
    <row r="1435" spans="1:1" x14ac:dyDescent="0.2">
      <c r="A1435" s="5" t="str">
        <f t="shared" si="22"/>
        <v/>
      </c>
    </row>
    <row r="1436" spans="1:1" x14ac:dyDescent="0.2">
      <c r="A1436" s="5" t="str">
        <f t="shared" si="22"/>
        <v/>
      </c>
    </row>
    <row r="1437" spans="1:1" x14ac:dyDescent="0.2">
      <c r="A1437" s="5" t="str">
        <f t="shared" si="22"/>
        <v/>
      </c>
    </row>
    <row r="1438" spans="1:1" x14ac:dyDescent="0.2">
      <c r="A1438" s="5" t="str">
        <f t="shared" si="22"/>
        <v/>
      </c>
    </row>
    <row r="1439" spans="1:1" x14ac:dyDescent="0.2">
      <c r="A1439" s="5" t="str">
        <f t="shared" si="22"/>
        <v/>
      </c>
    </row>
    <row r="1440" spans="1:1" x14ac:dyDescent="0.2">
      <c r="A1440" s="5" t="str">
        <f t="shared" si="22"/>
        <v/>
      </c>
    </row>
    <row r="1441" spans="1:1" x14ac:dyDescent="0.2">
      <c r="A1441" s="5" t="str">
        <f t="shared" si="22"/>
        <v/>
      </c>
    </row>
    <row r="1442" spans="1:1" x14ac:dyDescent="0.2">
      <c r="A1442" s="5" t="str">
        <f t="shared" si="22"/>
        <v/>
      </c>
    </row>
    <row r="1443" spans="1:1" x14ac:dyDescent="0.2">
      <c r="A1443" s="5" t="str">
        <f t="shared" si="22"/>
        <v/>
      </c>
    </row>
    <row r="1444" spans="1:1" x14ac:dyDescent="0.2">
      <c r="A1444" s="5" t="str">
        <f t="shared" si="22"/>
        <v/>
      </c>
    </row>
    <row r="1445" spans="1:1" x14ac:dyDescent="0.2">
      <c r="A1445" s="5" t="str">
        <f t="shared" si="22"/>
        <v/>
      </c>
    </row>
    <row r="1446" spans="1:1" x14ac:dyDescent="0.2">
      <c r="A1446" s="5" t="str">
        <f t="shared" si="22"/>
        <v/>
      </c>
    </row>
    <row r="1447" spans="1:1" x14ac:dyDescent="0.2">
      <c r="A1447" s="5" t="str">
        <f t="shared" si="22"/>
        <v/>
      </c>
    </row>
    <row r="1448" spans="1:1" x14ac:dyDescent="0.2">
      <c r="A1448" s="5" t="str">
        <f t="shared" si="22"/>
        <v/>
      </c>
    </row>
    <row r="1449" spans="1:1" x14ac:dyDescent="0.2">
      <c r="A1449" s="5" t="str">
        <f t="shared" si="22"/>
        <v/>
      </c>
    </row>
    <row r="1450" spans="1:1" x14ac:dyDescent="0.2">
      <c r="A1450" s="5" t="str">
        <f t="shared" si="22"/>
        <v/>
      </c>
    </row>
    <row r="1451" spans="1:1" x14ac:dyDescent="0.2">
      <c r="A1451" s="5" t="str">
        <f t="shared" si="22"/>
        <v/>
      </c>
    </row>
    <row r="1452" spans="1:1" x14ac:dyDescent="0.2">
      <c r="A1452" s="5" t="str">
        <f t="shared" si="22"/>
        <v/>
      </c>
    </row>
    <row r="1453" spans="1:1" x14ac:dyDescent="0.2">
      <c r="A1453" s="5" t="str">
        <f t="shared" si="22"/>
        <v/>
      </c>
    </row>
    <row r="1454" spans="1:1" x14ac:dyDescent="0.2">
      <c r="A1454" s="5" t="str">
        <f t="shared" si="22"/>
        <v/>
      </c>
    </row>
    <row r="1455" spans="1:1" x14ac:dyDescent="0.2">
      <c r="A1455" s="5" t="str">
        <f t="shared" si="22"/>
        <v/>
      </c>
    </row>
    <row r="1456" spans="1:1" x14ac:dyDescent="0.2">
      <c r="A1456" s="5" t="str">
        <f t="shared" si="22"/>
        <v/>
      </c>
    </row>
    <row r="1457" spans="1:1" x14ac:dyDescent="0.2">
      <c r="A1457" s="5" t="str">
        <f t="shared" si="22"/>
        <v/>
      </c>
    </row>
    <row r="1458" spans="1:1" x14ac:dyDescent="0.2">
      <c r="A1458" s="5" t="str">
        <f t="shared" si="22"/>
        <v/>
      </c>
    </row>
    <row r="1459" spans="1:1" x14ac:dyDescent="0.2">
      <c r="A1459" s="5" t="str">
        <f t="shared" si="22"/>
        <v/>
      </c>
    </row>
    <row r="1460" spans="1:1" x14ac:dyDescent="0.2">
      <c r="A1460" s="5" t="str">
        <f t="shared" si="22"/>
        <v/>
      </c>
    </row>
    <row r="1461" spans="1:1" x14ac:dyDescent="0.2">
      <c r="A1461" s="5" t="str">
        <f t="shared" si="22"/>
        <v/>
      </c>
    </row>
    <row r="1462" spans="1:1" x14ac:dyDescent="0.2">
      <c r="A1462" s="5" t="str">
        <f t="shared" si="22"/>
        <v/>
      </c>
    </row>
    <row r="1463" spans="1:1" x14ac:dyDescent="0.2">
      <c r="A1463" s="5" t="str">
        <f t="shared" si="22"/>
        <v/>
      </c>
    </row>
    <row r="1464" spans="1:1" x14ac:dyDescent="0.2">
      <c r="A1464" s="5" t="str">
        <f t="shared" si="22"/>
        <v/>
      </c>
    </row>
    <row r="1465" spans="1:1" x14ac:dyDescent="0.2">
      <c r="A1465" s="5" t="str">
        <f t="shared" si="22"/>
        <v/>
      </c>
    </row>
    <row r="1466" spans="1:1" x14ac:dyDescent="0.2">
      <c r="A1466" s="5" t="str">
        <f t="shared" si="22"/>
        <v/>
      </c>
    </row>
    <row r="1467" spans="1:1" x14ac:dyDescent="0.2">
      <c r="A1467" s="5" t="str">
        <f t="shared" si="22"/>
        <v/>
      </c>
    </row>
    <row r="1468" spans="1:1" x14ac:dyDescent="0.2">
      <c r="A1468" s="5" t="str">
        <f t="shared" si="22"/>
        <v/>
      </c>
    </row>
    <row r="1469" spans="1:1" x14ac:dyDescent="0.2">
      <c r="A1469" s="5" t="str">
        <f t="shared" si="22"/>
        <v/>
      </c>
    </row>
    <row r="1470" spans="1:1" x14ac:dyDescent="0.2">
      <c r="A1470" s="5" t="str">
        <f t="shared" si="22"/>
        <v/>
      </c>
    </row>
    <row r="1471" spans="1:1" x14ac:dyDescent="0.2">
      <c r="A1471" s="5" t="str">
        <f t="shared" si="22"/>
        <v/>
      </c>
    </row>
    <row r="1472" spans="1:1" x14ac:dyDescent="0.2">
      <c r="A1472" s="5" t="str">
        <f t="shared" si="22"/>
        <v/>
      </c>
    </row>
    <row r="1473" spans="1:1" x14ac:dyDescent="0.2">
      <c r="A1473" s="5" t="str">
        <f t="shared" si="22"/>
        <v/>
      </c>
    </row>
    <row r="1474" spans="1:1" x14ac:dyDescent="0.2">
      <c r="A1474" s="5" t="str">
        <f t="shared" si="22"/>
        <v/>
      </c>
    </row>
    <row r="1475" spans="1:1" x14ac:dyDescent="0.2">
      <c r="A1475" s="5" t="str">
        <f t="shared" si="22"/>
        <v/>
      </c>
    </row>
    <row r="1476" spans="1:1" x14ac:dyDescent="0.2">
      <c r="A1476" s="5" t="str">
        <f t="shared" ref="A1476:A1539" si="23">IF(AND(B1475&lt;&gt;"",B1476=""),$A$2&amp;"---&gt;","")</f>
        <v/>
      </c>
    </row>
    <row r="1477" spans="1:1" x14ac:dyDescent="0.2">
      <c r="A1477" s="5" t="str">
        <f t="shared" si="23"/>
        <v/>
      </c>
    </row>
    <row r="1478" spans="1:1" x14ac:dyDescent="0.2">
      <c r="A1478" s="5" t="str">
        <f t="shared" si="23"/>
        <v/>
      </c>
    </row>
    <row r="1479" spans="1:1" x14ac:dyDescent="0.2">
      <c r="A1479" s="5" t="str">
        <f t="shared" si="23"/>
        <v/>
      </c>
    </row>
    <row r="1480" spans="1:1" x14ac:dyDescent="0.2">
      <c r="A1480" s="5" t="str">
        <f t="shared" si="23"/>
        <v/>
      </c>
    </row>
    <row r="1481" spans="1:1" x14ac:dyDescent="0.2">
      <c r="A1481" s="5" t="str">
        <f t="shared" si="23"/>
        <v/>
      </c>
    </row>
    <row r="1482" spans="1:1" x14ac:dyDescent="0.2">
      <c r="A1482" s="5" t="str">
        <f t="shared" si="23"/>
        <v/>
      </c>
    </row>
    <row r="1483" spans="1:1" x14ac:dyDescent="0.2">
      <c r="A1483" s="5" t="str">
        <f t="shared" si="23"/>
        <v/>
      </c>
    </row>
    <row r="1484" spans="1:1" x14ac:dyDescent="0.2">
      <c r="A1484" s="5" t="str">
        <f t="shared" si="23"/>
        <v/>
      </c>
    </row>
    <row r="1485" spans="1:1" x14ac:dyDescent="0.2">
      <c r="A1485" s="5" t="str">
        <f t="shared" si="23"/>
        <v/>
      </c>
    </row>
    <row r="1486" spans="1:1" x14ac:dyDescent="0.2">
      <c r="A1486" s="5" t="str">
        <f t="shared" si="23"/>
        <v/>
      </c>
    </row>
    <row r="1487" spans="1:1" x14ac:dyDescent="0.2">
      <c r="A1487" s="5" t="str">
        <f t="shared" si="23"/>
        <v/>
      </c>
    </row>
    <row r="1488" spans="1:1" x14ac:dyDescent="0.2">
      <c r="A1488" s="5" t="str">
        <f t="shared" si="23"/>
        <v/>
      </c>
    </row>
    <row r="1489" spans="1:1" x14ac:dyDescent="0.2">
      <c r="A1489" s="5" t="str">
        <f t="shared" si="23"/>
        <v/>
      </c>
    </row>
    <row r="1490" spans="1:1" x14ac:dyDescent="0.2">
      <c r="A1490" s="5" t="str">
        <f t="shared" si="23"/>
        <v/>
      </c>
    </row>
    <row r="1491" spans="1:1" x14ac:dyDescent="0.2">
      <c r="A1491" s="5" t="str">
        <f t="shared" si="23"/>
        <v/>
      </c>
    </row>
    <row r="1492" spans="1:1" x14ac:dyDescent="0.2">
      <c r="A1492" s="5" t="str">
        <f t="shared" si="23"/>
        <v/>
      </c>
    </row>
    <row r="1493" spans="1:1" x14ac:dyDescent="0.2">
      <c r="A1493" s="5" t="str">
        <f t="shared" si="23"/>
        <v/>
      </c>
    </row>
    <row r="1494" spans="1:1" x14ac:dyDescent="0.2">
      <c r="A1494" s="5" t="str">
        <f t="shared" si="23"/>
        <v/>
      </c>
    </row>
    <row r="1495" spans="1:1" x14ac:dyDescent="0.2">
      <c r="A1495" s="5" t="str">
        <f t="shared" si="23"/>
        <v/>
      </c>
    </row>
    <row r="1496" spans="1:1" x14ac:dyDescent="0.2">
      <c r="A1496" s="5" t="str">
        <f t="shared" si="23"/>
        <v/>
      </c>
    </row>
    <row r="1497" spans="1:1" x14ac:dyDescent="0.2">
      <c r="A1497" s="5" t="str">
        <f t="shared" si="23"/>
        <v/>
      </c>
    </row>
    <row r="1498" spans="1:1" x14ac:dyDescent="0.2">
      <c r="A1498" s="5" t="str">
        <f t="shared" si="23"/>
        <v/>
      </c>
    </row>
    <row r="1499" spans="1:1" x14ac:dyDescent="0.2">
      <c r="A1499" s="5" t="str">
        <f t="shared" si="23"/>
        <v/>
      </c>
    </row>
    <row r="1500" spans="1:1" x14ac:dyDescent="0.2">
      <c r="A1500" s="5" t="str">
        <f t="shared" si="23"/>
        <v/>
      </c>
    </row>
    <row r="1501" spans="1:1" x14ac:dyDescent="0.2">
      <c r="A1501" s="5" t="str">
        <f t="shared" si="23"/>
        <v/>
      </c>
    </row>
    <row r="1502" spans="1:1" x14ac:dyDescent="0.2">
      <c r="A1502" s="5" t="str">
        <f t="shared" si="23"/>
        <v/>
      </c>
    </row>
    <row r="1503" spans="1:1" x14ac:dyDescent="0.2">
      <c r="A1503" s="5" t="str">
        <f t="shared" si="23"/>
        <v/>
      </c>
    </row>
    <row r="1504" spans="1:1" x14ac:dyDescent="0.2">
      <c r="A1504" s="5" t="str">
        <f t="shared" si="23"/>
        <v/>
      </c>
    </row>
    <row r="1505" spans="1:1" x14ac:dyDescent="0.2">
      <c r="A1505" s="5" t="str">
        <f t="shared" si="23"/>
        <v/>
      </c>
    </row>
    <row r="1506" spans="1:1" x14ac:dyDescent="0.2">
      <c r="A1506" s="5" t="str">
        <f t="shared" si="23"/>
        <v/>
      </c>
    </row>
    <row r="1507" spans="1:1" x14ac:dyDescent="0.2">
      <c r="A1507" s="5" t="str">
        <f t="shared" si="23"/>
        <v/>
      </c>
    </row>
    <row r="1508" spans="1:1" x14ac:dyDescent="0.2">
      <c r="A1508" s="5" t="str">
        <f t="shared" si="23"/>
        <v/>
      </c>
    </row>
    <row r="1509" spans="1:1" x14ac:dyDescent="0.2">
      <c r="A1509" s="5" t="str">
        <f t="shared" si="23"/>
        <v/>
      </c>
    </row>
    <row r="1510" spans="1:1" x14ac:dyDescent="0.2">
      <c r="A1510" s="5" t="str">
        <f t="shared" si="23"/>
        <v/>
      </c>
    </row>
    <row r="1511" spans="1:1" x14ac:dyDescent="0.2">
      <c r="A1511" s="5" t="str">
        <f t="shared" si="23"/>
        <v/>
      </c>
    </row>
    <row r="1512" spans="1:1" x14ac:dyDescent="0.2">
      <c r="A1512" s="5" t="str">
        <f t="shared" si="23"/>
        <v/>
      </c>
    </row>
    <row r="1513" spans="1:1" x14ac:dyDescent="0.2">
      <c r="A1513" s="5" t="str">
        <f t="shared" si="23"/>
        <v/>
      </c>
    </row>
    <row r="1514" spans="1:1" x14ac:dyDescent="0.2">
      <c r="A1514" s="5" t="str">
        <f t="shared" si="23"/>
        <v/>
      </c>
    </row>
    <row r="1515" spans="1:1" x14ac:dyDescent="0.2">
      <c r="A1515" s="5" t="str">
        <f t="shared" si="23"/>
        <v/>
      </c>
    </row>
    <row r="1516" spans="1:1" x14ac:dyDescent="0.2">
      <c r="A1516" s="5" t="str">
        <f t="shared" si="23"/>
        <v/>
      </c>
    </row>
    <row r="1517" spans="1:1" x14ac:dyDescent="0.2">
      <c r="A1517" s="5" t="str">
        <f t="shared" si="23"/>
        <v/>
      </c>
    </row>
    <row r="1518" spans="1:1" x14ac:dyDescent="0.2">
      <c r="A1518" s="5" t="str">
        <f t="shared" si="23"/>
        <v/>
      </c>
    </row>
    <row r="1519" spans="1:1" x14ac:dyDescent="0.2">
      <c r="A1519" s="5" t="str">
        <f t="shared" si="23"/>
        <v/>
      </c>
    </row>
    <row r="1520" spans="1:1" x14ac:dyDescent="0.2">
      <c r="A1520" s="5" t="str">
        <f t="shared" si="23"/>
        <v/>
      </c>
    </row>
    <row r="1521" spans="1:1" x14ac:dyDescent="0.2">
      <c r="A1521" s="5" t="str">
        <f t="shared" si="23"/>
        <v/>
      </c>
    </row>
    <row r="1522" spans="1:1" x14ac:dyDescent="0.2">
      <c r="A1522" s="5" t="str">
        <f t="shared" si="23"/>
        <v/>
      </c>
    </row>
    <row r="1523" spans="1:1" x14ac:dyDescent="0.2">
      <c r="A1523" s="5" t="str">
        <f t="shared" si="23"/>
        <v/>
      </c>
    </row>
    <row r="1524" spans="1:1" x14ac:dyDescent="0.2">
      <c r="A1524" s="5" t="str">
        <f t="shared" si="23"/>
        <v/>
      </c>
    </row>
    <row r="1525" spans="1:1" x14ac:dyDescent="0.2">
      <c r="A1525" s="5" t="str">
        <f t="shared" si="23"/>
        <v/>
      </c>
    </row>
    <row r="1526" spans="1:1" x14ac:dyDescent="0.2">
      <c r="A1526" s="5" t="str">
        <f t="shared" si="23"/>
        <v/>
      </c>
    </row>
    <row r="1527" spans="1:1" x14ac:dyDescent="0.2">
      <c r="A1527" s="5" t="str">
        <f t="shared" si="23"/>
        <v/>
      </c>
    </row>
    <row r="1528" spans="1:1" x14ac:dyDescent="0.2">
      <c r="A1528" s="5" t="str">
        <f t="shared" si="23"/>
        <v/>
      </c>
    </row>
    <row r="1529" spans="1:1" x14ac:dyDescent="0.2">
      <c r="A1529" s="5" t="str">
        <f t="shared" si="23"/>
        <v/>
      </c>
    </row>
    <row r="1530" spans="1:1" x14ac:dyDescent="0.2">
      <c r="A1530" s="5" t="str">
        <f t="shared" si="23"/>
        <v/>
      </c>
    </row>
    <row r="1531" spans="1:1" x14ac:dyDescent="0.2">
      <c r="A1531" s="5" t="str">
        <f t="shared" si="23"/>
        <v/>
      </c>
    </row>
    <row r="1532" spans="1:1" x14ac:dyDescent="0.2">
      <c r="A1532" s="5" t="str">
        <f t="shared" si="23"/>
        <v/>
      </c>
    </row>
    <row r="1533" spans="1:1" x14ac:dyDescent="0.2">
      <c r="A1533" s="5" t="str">
        <f t="shared" si="23"/>
        <v/>
      </c>
    </row>
    <row r="1534" spans="1:1" x14ac:dyDescent="0.2">
      <c r="A1534" s="5" t="str">
        <f t="shared" si="23"/>
        <v/>
      </c>
    </row>
    <row r="1535" spans="1:1" x14ac:dyDescent="0.2">
      <c r="A1535" s="5" t="str">
        <f t="shared" si="23"/>
        <v/>
      </c>
    </row>
    <row r="1536" spans="1:1" x14ac:dyDescent="0.2">
      <c r="A1536" s="5" t="str">
        <f t="shared" si="23"/>
        <v/>
      </c>
    </row>
    <row r="1537" spans="1:1" x14ac:dyDescent="0.2">
      <c r="A1537" s="5" t="str">
        <f t="shared" si="23"/>
        <v/>
      </c>
    </row>
    <row r="1538" spans="1:1" x14ac:dyDescent="0.2">
      <c r="A1538" s="5" t="str">
        <f t="shared" si="23"/>
        <v/>
      </c>
    </row>
    <row r="1539" spans="1:1" x14ac:dyDescent="0.2">
      <c r="A1539" s="5" t="str">
        <f t="shared" si="23"/>
        <v/>
      </c>
    </row>
    <row r="1540" spans="1:1" x14ac:dyDescent="0.2">
      <c r="A1540" s="5" t="str">
        <f t="shared" ref="A1540:A1603" si="24">IF(AND(B1539&lt;&gt;"",B1540=""),$A$2&amp;"---&gt;","")</f>
        <v/>
      </c>
    </row>
    <row r="1541" spans="1:1" x14ac:dyDescent="0.2">
      <c r="A1541" s="5" t="str">
        <f t="shared" si="24"/>
        <v/>
      </c>
    </row>
    <row r="1542" spans="1:1" x14ac:dyDescent="0.2">
      <c r="A1542" s="5" t="str">
        <f t="shared" si="24"/>
        <v/>
      </c>
    </row>
    <row r="1543" spans="1:1" x14ac:dyDescent="0.2">
      <c r="A1543" s="5" t="str">
        <f t="shared" si="24"/>
        <v/>
      </c>
    </row>
    <row r="1544" spans="1:1" x14ac:dyDescent="0.2">
      <c r="A1544" s="5" t="str">
        <f t="shared" si="24"/>
        <v/>
      </c>
    </row>
    <row r="1545" spans="1:1" x14ac:dyDescent="0.2">
      <c r="A1545" s="5" t="str">
        <f t="shared" si="24"/>
        <v/>
      </c>
    </row>
    <row r="1546" spans="1:1" x14ac:dyDescent="0.2">
      <c r="A1546" s="5" t="str">
        <f t="shared" si="24"/>
        <v/>
      </c>
    </row>
    <row r="1547" spans="1:1" x14ac:dyDescent="0.2">
      <c r="A1547" s="5" t="str">
        <f t="shared" si="24"/>
        <v/>
      </c>
    </row>
    <row r="1548" spans="1:1" x14ac:dyDescent="0.2">
      <c r="A1548" s="5" t="str">
        <f t="shared" si="24"/>
        <v/>
      </c>
    </row>
    <row r="1549" spans="1:1" x14ac:dyDescent="0.2">
      <c r="A1549" s="5" t="str">
        <f t="shared" si="24"/>
        <v/>
      </c>
    </row>
    <row r="1550" spans="1:1" x14ac:dyDescent="0.2">
      <c r="A1550" s="5" t="str">
        <f t="shared" si="24"/>
        <v/>
      </c>
    </row>
    <row r="1551" spans="1:1" x14ac:dyDescent="0.2">
      <c r="A1551" s="5" t="str">
        <f t="shared" si="24"/>
        <v/>
      </c>
    </row>
    <row r="1552" spans="1:1" x14ac:dyDescent="0.2">
      <c r="A1552" s="5" t="str">
        <f t="shared" si="24"/>
        <v/>
      </c>
    </row>
    <row r="1553" spans="1:1" x14ac:dyDescent="0.2">
      <c r="A1553" s="5" t="str">
        <f t="shared" si="24"/>
        <v/>
      </c>
    </row>
    <row r="1554" spans="1:1" x14ac:dyDescent="0.2">
      <c r="A1554" s="5" t="str">
        <f t="shared" si="24"/>
        <v/>
      </c>
    </row>
    <row r="1555" spans="1:1" x14ac:dyDescent="0.2">
      <c r="A1555" s="5" t="str">
        <f t="shared" si="24"/>
        <v/>
      </c>
    </row>
    <row r="1556" spans="1:1" x14ac:dyDescent="0.2">
      <c r="A1556" s="5" t="str">
        <f t="shared" si="24"/>
        <v/>
      </c>
    </row>
    <row r="1557" spans="1:1" x14ac:dyDescent="0.2">
      <c r="A1557" s="5" t="str">
        <f t="shared" si="24"/>
        <v/>
      </c>
    </row>
    <row r="1558" spans="1:1" x14ac:dyDescent="0.2">
      <c r="A1558" s="5" t="str">
        <f t="shared" si="24"/>
        <v/>
      </c>
    </row>
    <row r="1559" spans="1:1" x14ac:dyDescent="0.2">
      <c r="A1559" s="5" t="str">
        <f t="shared" si="24"/>
        <v/>
      </c>
    </row>
    <row r="1560" spans="1:1" x14ac:dyDescent="0.2">
      <c r="A1560" s="5" t="str">
        <f t="shared" si="24"/>
        <v/>
      </c>
    </row>
    <row r="1561" spans="1:1" x14ac:dyDescent="0.2">
      <c r="A1561" s="5" t="str">
        <f t="shared" si="24"/>
        <v/>
      </c>
    </row>
    <row r="1562" spans="1:1" x14ac:dyDescent="0.2">
      <c r="A1562" s="5" t="str">
        <f t="shared" si="24"/>
        <v/>
      </c>
    </row>
    <row r="1563" spans="1:1" x14ac:dyDescent="0.2">
      <c r="A1563" s="5" t="str">
        <f t="shared" si="24"/>
        <v/>
      </c>
    </row>
    <row r="1564" spans="1:1" x14ac:dyDescent="0.2">
      <c r="A1564" s="5" t="str">
        <f t="shared" si="24"/>
        <v/>
      </c>
    </row>
    <row r="1565" spans="1:1" x14ac:dyDescent="0.2">
      <c r="A1565" s="5" t="str">
        <f t="shared" si="24"/>
        <v/>
      </c>
    </row>
    <row r="1566" spans="1:1" x14ac:dyDescent="0.2">
      <c r="A1566" s="5" t="str">
        <f t="shared" si="24"/>
        <v/>
      </c>
    </row>
    <row r="1567" spans="1:1" x14ac:dyDescent="0.2">
      <c r="A1567" s="5" t="str">
        <f t="shared" si="24"/>
        <v/>
      </c>
    </row>
    <row r="1568" spans="1:1" x14ac:dyDescent="0.2">
      <c r="A1568" s="5" t="str">
        <f t="shared" si="24"/>
        <v/>
      </c>
    </row>
    <row r="1569" spans="1:1" x14ac:dyDescent="0.2">
      <c r="A1569" s="5" t="str">
        <f t="shared" si="24"/>
        <v/>
      </c>
    </row>
    <row r="1570" spans="1:1" x14ac:dyDescent="0.2">
      <c r="A1570" s="5" t="str">
        <f t="shared" si="24"/>
        <v/>
      </c>
    </row>
    <row r="1571" spans="1:1" x14ac:dyDescent="0.2">
      <c r="A1571" s="5" t="str">
        <f t="shared" si="24"/>
        <v/>
      </c>
    </row>
    <row r="1572" spans="1:1" x14ac:dyDescent="0.2">
      <c r="A1572" s="5" t="str">
        <f t="shared" si="24"/>
        <v/>
      </c>
    </row>
    <row r="1573" spans="1:1" x14ac:dyDescent="0.2">
      <c r="A1573" s="5" t="str">
        <f t="shared" si="24"/>
        <v/>
      </c>
    </row>
    <row r="1574" spans="1:1" x14ac:dyDescent="0.2">
      <c r="A1574" s="5" t="str">
        <f t="shared" si="24"/>
        <v/>
      </c>
    </row>
    <row r="1575" spans="1:1" x14ac:dyDescent="0.2">
      <c r="A1575" s="5" t="str">
        <f t="shared" si="24"/>
        <v/>
      </c>
    </row>
    <row r="1576" spans="1:1" x14ac:dyDescent="0.2">
      <c r="A1576" s="5" t="str">
        <f t="shared" si="24"/>
        <v/>
      </c>
    </row>
    <row r="1577" spans="1:1" x14ac:dyDescent="0.2">
      <c r="A1577" s="5" t="str">
        <f t="shared" si="24"/>
        <v/>
      </c>
    </row>
    <row r="1578" spans="1:1" x14ac:dyDescent="0.2">
      <c r="A1578" s="5" t="str">
        <f t="shared" si="24"/>
        <v/>
      </c>
    </row>
    <row r="1579" spans="1:1" x14ac:dyDescent="0.2">
      <c r="A1579" s="5" t="str">
        <f t="shared" si="24"/>
        <v/>
      </c>
    </row>
    <row r="1580" spans="1:1" x14ac:dyDescent="0.2">
      <c r="A1580" s="5" t="str">
        <f t="shared" si="24"/>
        <v/>
      </c>
    </row>
    <row r="1581" spans="1:1" x14ac:dyDescent="0.2">
      <c r="A1581" s="5" t="str">
        <f t="shared" si="24"/>
        <v/>
      </c>
    </row>
    <row r="1582" spans="1:1" x14ac:dyDescent="0.2">
      <c r="A1582" s="5" t="str">
        <f t="shared" si="24"/>
        <v/>
      </c>
    </row>
    <row r="1583" spans="1:1" x14ac:dyDescent="0.2">
      <c r="A1583" s="5" t="str">
        <f t="shared" si="24"/>
        <v/>
      </c>
    </row>
    <row r="1584" spans="1:1" x14ac:dyDescent="0.2">
      <c r="A1584" s="5" t="str">
        <f t="shared" si="24"/>
        <v/>
      </c>
    </row>
    <row r="1585" spans="1:1" x14ac:dyDescent="0.2">
      <c r="A1585" s="5" t="str">
        <f t="shared" si="24"/>
        <v/>
      </c>
    </row>
    <row r="1586" spans="1:1" x14ac:dyDescent="0.2">
      <c r="A1586" s="5" t="str">
        <f t="shared" si="24"/>
        <v/>
      </c>
    </row>
    <row r="1587" spans="1:1" x14ac:dyDescent="0.2">
      <c r="A1587" s="5" t="str">
        <f t="shared" si="24"/>
        <v/>
      </c>
    </row>
    <row r="1588" spans="1:1" x14ac:dyDescent="0.2">
      <c r="A1588" s="5" t="str">
        <f t="shared" si="24"/>
        <v/>
      </c>
    </row>
    <row r="1589" spans="1:1" x14ac:dyDescent="0.2">
      <c r="A1589" s="5" t="str">
        <f t="shared" si="24"/>
        <v/>
      </c>
    </row>
    <row r="1590" spans="1:1" x14ac:dyDescent="0.2">
      <c r="A1590" s="5" t="str">
        <f t="shared" si="24"/>
        <v/>
      </c>
    </row>
    <row r="1591" spans="1:1" x14ac:dyDescent="0.2">
      <c r="A1591" s="5" t="str">
        <f t="shared" si="24"/>
        <v/>
      </c>
    </row>
    <row r="1592" spans="1:1" x14ac:dyDescent="0.2">
      <c r="A1592" s="5" t="str">
        <f t="shared" si="24"/>
        <v/>
      </c>
    </row>
    <row r="1593" spans="1:1" x14ac:dyDescent="0.2">
      <c r="A1593" s="5" t="str">
        <f t="shared" si="24"/>
        <v/>
      </c>
    </row>
    <row r="1594" spans="1:1" x14ac:dyDescent="0.2">
      <c r="A1594" s="5" t="str">
        <f t="shared" si="24"/>
        <v/>
      </c>
    </row>
    <row r="1595" spans="1:1" x14ac:dyDescent="0.2">
      <c r="A1595" s="5" t="str">
        <f t="shared" si="24"/>
        <v/>
      </c>
    </row>
    <row r="1596" spans="1:1" x14ac:dyDescent="0.2">
      <c r="A1596" s="5" t="str">
        <f t="shared" si="24"/>
        <v/>
      </c>
    </row>
    <row r="1597" spans="1:1" x14ac:dyDescent="0.2">
      <c r="A1597" s="5" t="str">
        <f t="shared" si="24"/>
        <v/>
      </c>
    </row>
    <row r="1598" spans="1:1" x14ac:dyDescent="0.2">
      <c r="A1598" s="5" t="str">
        <f t="shared" si="24"/>
        <v/>
      </c>
    </row>
    <row r="1599" spans="1:1" x14ac:dyDescent="0.2">
      <c r="A1599" s="5" t="str">
        <f t="shared" si="24"/>
        <v/>
      </c>
    </row>
    <row r="1600" spans="1:1" x14ac:dyDescent="0.2">
      <c r="A1600" s="5" t="str">
        <f t="shared" si="24"/>
        <v/>
      </c>
    </row>
    <row r="1601" spans="1:1" x14ac:dyDescent="0.2">
      <c r="A1601" s="5" t="str">
        <f t="shared" si="24"/>
        <v/>
      </c>
    </row>
    <row r="1602" spans="1:1" x14ac:dyDescent="0.2">
      <c r="A1602" s="5" t="str">
        <f t="shared" si="24"/>
        <v/>
      </c>
    </row>
    <row r="1603" spans="1:1" x14ac:dyDescent="0.2">
      <c r="A1603" s="5" t="str">
        <f t="shared" si="24"/>
        <v/>
      </c>
    </row>
    <row r="1604" spans="1:1" x14ac:dyDescent="0.2">
      <c r="A1604" s="5" t="str">
        <f t="shared" ref="A1604:A1667" si="25">IF(AND(B1603&lt;&gt;"",B1604=""),$A$2&amp;"---&gt;","")</f>
        <v/>
      </c>
    </row>
    <row r="1605" spans="1:1" x14ac:dyDescent="0.2">
      <c r="A1605" s="5" t="str">
        <f t="shared" si="25"/>
        <v/>
      </c>
    </row>
    <row r="1606" spans="1:1" x14ac:dyDescent="0.2">
      <c r="A1606" s="5" t="str">
        <f t="shared" si="25"/>
        <v/>
      </c>
    </row>
    <row r="1607" spans="1:1" x14ac:dyDescent="0.2">
      <c r="A1607" s="5" t="str">
        <f t="shared" si="25"/>
        <v/>
      </c>
    </row>
    <row r="1608" spans="1:1" x14ac:dyDescent="0.2">
      <c r="A1608" s="5" t="str">
        <f t="shared" si="25"/>
        <v/>
      </c>
    </row>
    <row r="1609" spans="1:1" x14ac:dyDescent="0.2">
      <c r="A1609" s="5" t="str">
        <f t="shared" si="25"/>
        <v/>
      </c>
    </row>
    <row r="1610" spans="1:1" x14ac:dyDescent="0.2">
      <c r="A1610" s="5" t="str">
        <f t="shared" si="25"/>
        <v/>
      </c>
    </row>
    <row r="1611" spans="1:1" x14ac:dyDescent="0.2">
      <c r="A1611" s="5" t="str">
        <f t="shared" si="25"/>
        <v/>
      </c>
    </row>
    <row r="1612" spans="1:1" x14ac:dyDescent="0.2">
      <c r="A1612" s="5" t="str">
        <f t="shared" si="25"/>
        <v/>
      </c>
    </row>
    <row r="1613" spans="1:1" x14ac:dyDescent="0.2">
      <c r="A1613" s="5" t="str">
        <f t="shared" si="25"/>
        <v/>
      </c>
    </row>
    <row r="1614" spans="1:1" x14ac:dyDescent="0.2">
      <c r="A1614" s="5" t="str">
        <f t="shared" si="25"/>
        <v/>
      </c>
    </row>
    <row r="1615" spans="1:1" x14ac:dyDescent="0.2">
      <c r="A1615" s="5" t="str">
        <f t="shared" si="25"/>
        <v/>
      </c>
    </row>
    <row r="1616" spans="1:1" x14ac:dyDescent="0.2">
      <c r="A1616" s="5" t="str">
        <f t="shared" si="25"/>
        <v/>
      </c>
    </row>
    <row r="1617" spans="1:1" x14ac:dyDescent="0.2">
      <c r="A1617" s="5" t="str">
        <f t="shared" si="25"/>
        <v/>
      </c>
    </row>
    <row r="1618" spans="1:1" x14ac:dyDescent="0.2">
      <c r="A1618" s="5" t="str">
        <f t="shared" si="25"/>
        <v/>
      </c>
    </row>
    <row r="1619" spans="1:1" x14ac:dyDescent="0.2">
      <c r="A1619" s="5" t="str">
        <f t="shared" si="25"/>
        <v/>
      </c>
    </row>
    <row r="1620" spans="1:1" x14ac:dyDescent="0.2">
      <c r="A1620" s="5" t="str">
        <f t="shared" si="25"/>
        <v/>
      </c>
    </row>
    <row r="1621" spans="1:1" x14ac:dyDescent="0.2">
      <c r="A1621" s="5" t="str">
        <f t="shared" si="25"/>
        <v/>
      </c>
    </row>
    <row r="1622" spans="1:1" x14ac:dyDescent="0.2">
      <c r="A1622" s="5" t="str">
        <f t="shared" si="25"/>
        <v/>
      </c>
    </row>
    <row r="1623" spans="1:1" x14ac:dyDescent="0.2">
      <c r="A1623" s="5" t="str">
        <f t="shared" si="25"/>
        <v/>
      </c>
    </row>
    <row r="1624" spans="1:1" x14ac:dyDescent="0.2">
      <c r="A1624" s="5" t="str">
        <f t="shared" si="25"/>
        <v/>
      </c>
    </row>
    <row r="1625" spans="1:1" x14ac:dyDescent="0.2">
      <c r="A1625" s="5" t="str">
        <f t="shared" si="25"/>
        <v/>
      </c>
    </row>
    <row r="1626" spans="1:1" x14ac:dyDescent="0.2">
      <c r="A1626" s="5" t="str">
        <f t="shared" si="25"/>
        <v/>
      </c>
    </row>
    <row r="1627" spans="1:1" x14ac:dyDescent="0.2">
      <c r="A1627" s="5" t="str">
        <f t="shared" si="25"/>
        <v/>
      </c>
    </row>
    <row r="1628" spans="1:1" x14ac:dyDescent="0.2">
      <c r="A1628" s="5" t="str">
        <f t="shared" si="25"/>
        <v/>
      </c>
    </row>
    <row r="1629" spans="1:1" x14ac:dyDescent="0.2">
      <c r="A1629" s="5" t="str">
        <f t="shared" si="25"/>
        <v/>
      </c>
    </row>
    <row r="1630" spans="1:1" x14ac:dyDescent="0.2">
      <c r="A1630" s="5" t="str">
        <f t="shared" si="25"/>
        <v/>
      </c>
    </row>
    <row r="1631" spans="1:1" x14ac:dyDescent="0.2">
      <c r="A1631" s="5" t="str">
        <f t="shared" si="25"/>
        <v/>
      </c>
    </row>
    <row r="1632" spans="1:1" x14ac:dyDescent="0.2">
      <c r="A1632" s="5" t="str">
        <f t="shared" si="25"/>
        <v/>
      </c>
    </row>
    <row r="1633" spans="1:1" x14ac:dyDescent="0.2">
      <c r="A1633" s="5" t="str">
        <f t="shared" si="25"/>
        <v/>
      </c>
    </row>
    <row r="1634" spans="1:1" x14ac:dyDescent="0.2">
      <c r="A1634" s="5" t="str">
        <f t="shared" si="25"/>
        <v/>
      </c>
    </row>
    <row r="1635" spans="1:1" x14ac:dyDescent="0.2">
      <c r="A1635" s="5" t="str">
        <f t="shared" si="25"/>
        <v/>
      </c>
    </row>
    <row r="1636" spans="1:1" x14ac:dyDescent="0.2">
      <c r="A1636" s="5" t="str">
        <f t="shared" si="25"/>
        <v/>
      </c>
    </row>
    <row r="1637" spans="1:1" x14ac:dyDescent="0.2">
      <c r="A1637" s="5" t="str">
        <f t="shared" si="25"/>
        <v/>
      </c>
    </row>
    <row r="1638" spans="1:1" x14ac:dyDescent="0.2">
      <c r="A1638" s="5" t="str">
        <f t="shared" si="25"/>
        <v/>
      </c>
    </row>
    <row r="1639" spans="1:1" x14ac:dyDescent="0.2">
      <c r="A1639" s="5" t="str">
        <f t="shared" si="25"/>
        <v/>
      </c>
    </row>
    <row r="1640" spans="1:1" x14ac:dyDescent="0.2">
      <c r="A1640" s="5" t="str">
        <f t="shared" si="25"/>
        <v/>
      </c>
    </row>
    <row r="1641" spans="1:1" x14ac:dyDescent="0.2">
      <c r="A1641" s="5" t="str">
        <f t="shared" si="25"/>
        <v/>
      </c>
    </row>
    <row r="1642" spans="1:1" x14ac:dyDescent="0.2">
      <c r="A1642" s="5" t="str">
        <f t="shared" si="25"/>
        <v/>
      </c>
    </row>
    <row r="1643" spans="1:1" x14ac:dyDescent="0.2">
      <c r="A1643" s="5" t="str">
        <f t="shared" si="25"/>
        <v/>
      </c>
    </row>
    <row r="1644" spans="1:1" x14ac:dyDescent="0.2">
      <c r="A1644" s="5" t="str">
        <f t="shared" si="25"/>
        <v/>
      </c>
    </row>
    <row r="1645" spans="1:1" x14ac:dyDescent="0.2">
      <c r="A1645" s="5" t="str">
        <f t="shared" si="25"/>
        <v/>
      </c>
    </row>
    <row r="1646" spans="1:1" x14ac:dyDescent="0.2">
      <c r="A1646" s="5" t="str">
        <f t="shared" si="25"/>
        <v/>
      </c>
    </row>
    <row r="1647" spans="1:1" x14ac:dyDescent="0.2">
      <c r="A1647" s="5" t="str">
        <f t="shared" si="25"/>
        <v/>
      </c>
    </row>
    <row r="1648" spans="1:1" x14ac:dyDescent="0.2">
      <c r="A1648" s="5" t="str">
        <f t="shared" si="25"/>
        <v/>
      </c>
    </row>
    <row r="1649" spans="1:1" x14ac:dyDescent="0.2">
      <c r="A1649" s="5" t="str">
        <f t="shared" si="25"/>
        <v/>
      </c>
    </row>
    <row r="1650" spans="1:1" x14ac:dyDescent="0.2">
      <c r="A1650" s="5" t="str">
        <f t="shared" si="25"/>
        <v/>
      </c>
    </row>
    <row r="1651" spans="1:1" x14ac:dyDescent="0.2">
      <c r="A1651" s="5" t="str">
        <f t="shared" si="25"/>
        <v/>
      </c>
    </row>
    <row r="1652" spans="1:1" x14ac:dyDescent="0.2">
      <c r="A1652" s="5" t="str">
        <f t="shared" si="25"/>
        <v/>
      </c>
    </row>
    <row r="1653" spans="1:1" x14ac:dyDescent="0.2">
      <c r="A1653" s="5" t="str">
        <f t="shared" si="25"/>
        <v/>
      </c>
    </row>
    <row r="1654" spans="1:1" x14ac:dyDescent="0.2">
      <c r="A1654" s="5" t="str">
        <f t="shared" si="25"/>
        <v/>
      </c>
    </row>
    <row r="1655" spans="1:1" x14ac:dyDescent="0.2">
      <c r="A1655" s="5" t="str">
        <f t="shared" si="25"/>
        <v/>
      </c>
    </row>
    <row r="1656" spans="1:1" x14ac:dyDescent="0.2">
      <c r="A1656" s="5" t="str">
        <f t="shared" si="25"/>
        <v/>
      </c>
    </row>
    <row r="1657" spans="1:1" x14ac:dyDescent="0.2">
      <c r="A1657" s="5" t="str">
        <f t="shared" si="25"/>
        <v/>
      </c>
    </row>
    <row r="1658" spans="1:1" x14ac:dyDescent="0.2">
      <c r="A1658" s="5" t="str">
        <f t="shared" si="25"/>
        <v/>
      </c>
    </row>
    <row r="1659" spans="1:1" x14ac:dyDescent="0.2">
      <c r="A1659" s="5" t="str">
        <f t="shared" si="25"/>
        <v/>
      </c>
    </row>
    <row r="1660" spans="1:1" x14ac:dyDescent="0.2">
      <c r="A1660" s="5" t="str">
        <f t="shared" si="25"/>
        <v/>
      </c>
    </row>
    <row r="1661" spans="1:1" x14ac:dyDescent="0.2">
      <c r="A1661" s="5" t="str">
        <f t="shared" si="25"/>
        <v/>
      </c>
    </row>
    <row r="1662" spans="1:1" x14ac:dyDescent="0.2">
      <c r="A1662" s="5" t="str">
        <f t="shared" si="25"/>
        <v/>
      </c>
    </row>
    <row r="1663" spans="1:1" x14ac:dyDescent="0.2">
      <c r="A1663" s="5" t="str">
        <f t="shared" si="25"/>
        <v/>
      </c>
    </row>
    <row r="1664" spans="1:1" x14ac:dyDescent="0.2">
      <c r="A1664" s="5" t="str">
        <f t="shared" si="25"/>
        <v/>
      </c>
    </row>
    <row r="1665" spans="1:1" x14ac:dyDescent="0.2">
      <c r="A1665" s="5" t="str">
        <f t="shared" si="25"/>
        <v/>
      </c>
    </row>
    <row r="1666" spans="1:1" x14ac:dyDescent="0.2">
      <c r="A1666" s="5" t="str">
        <f t="shared" si="25"/>
        <v/>
      </c>
    </row>
    <row r="1667" spans="1:1" x14ac:dyDescent="0.2">
      <c r="A1667" s="5" t="str">
        <f t="shared" si="25"/>
        <v/>
      </c>
    </row>
    <row r="1668" spans="1:1" x14ac:dyDescent="0.2">
      <c r="A1668" s="5" t="str">
        <f t="shared" ref="A1668:A1731" si="26">IF(AND(B1667&lt;&gt;"",B1668=""),$A$2&amp;"---&gt;","")</f>
        <v/>
      </c>
    </row>
    <row r="1669" spans="1:1" x14ac:dyDescent="0.2">
      <c r="A1669" s="5" t="str">
        <f t="shared" si="26"/>
        <v/>
      </c>
    </row>
    <row r="1670" spans="1:1" x14ac:dyDescent="0.2">
      <c r="A1670" s="5" t="str">
        <f t="shared" si="26"/>
        <v/>
      </c>
    </row>
    <row r="1671" spans="1:1" x14ac:dyDescent="0.2">
      <c r="A1671" s="5" t="str">
        <f t="shared" si="26"/>
        <v/>
      </c>
    </row>
    <row r="1672" spans="1:1" x14ac:dyDescent="0.2">
      <c r="A1672" s="5" t="str">
        <f t="shared" si="26"/>
        <v/>
      </c>
    </row>
    <row r="1673" spans="1:1" x14ac:dyDescent="0.2">
      <c r="A1673" s="5" t="str">
        <f t="shared" si="26"/>
        <v/>
      </c>
    </row>
    <row r="1674" spans="1:1" x14ac:dyDescent="0.2">
      <c r="A1674" s="5" t="str">
        <f t="shared" si="26"/>
        <v/>
      </c>
    </row>
    <row r="1675" spans="1:1" x14ac:dyDescent="0.2">
      <c r="A1675" s="5" t="str">
        <f t="shared" si="26"/>
        <v/>
      </c>
    </row>
    <row r="1676" spans="1:1" x14ac:dyDescent="0.2">
      <c r="A1676" s="5" t="str">
        <f t="shared" si="26"/>
        <v/>
      </c>
    </row>
    <row r="1677" spans="1:1" x14ac:dyDescent="0.2">
      <c r="A1677" s="5" t="str">
        <f t="shared" si="26"/>
        <v/>
      </c>
    </row>
    <row r="1678" spans="1:1" x14ac:dyDescent="0.2">
      <c r="A1678" s="5" t="str">
        <f t="shared" si="26"/>
        <v/>
      </c>
    </row>
    <row r="1679" spans="1:1" x14ac:dyDescent="0.2">
      <c r="A1679" s="5" t="str">
        <f t="shared" si="26"/>
        <v/>
      </c>
    </row>
    <row r="1680" spans="1:1" x14ac:dyDescent="0.2">
      <c r="A1680" s="5" t="str">
        <f t="shared" si="26"/>
        <v/>
      </c>
    </row>
    <row r="1681" spans="1:1" x14ac:dyDescent="0.2">
      <c r="A1681" s="5" t="str">
        <f t="shared" si="26"/>
        <v/>
      </c>
    </row>
    <row r="1682" spans="1:1" x14ac:dyDescent="0.2">
      <c r="A1682" s="5" t="str">
        <f t="shared" si="26"/>
        <v/>
      </c>
    </row>
    <row r="1683" spans="1:1" x14ac:dyDescent="0.2">
      <c r="A1683" s="5" t="str">
        <f t="shared" si="26"/>
        <v/>
      </c>
    </row>
    <row r="1684" spans="1:1" x14ac:dyDescent="0.2">
      <c r="A1684" s="5" t="str">
        <f t="shared" si="26"/>
        <v/>
      </c>
    </row>
    <row r="1685" spans="1:1" x14ac:dyDescent="0.2">
      <c r="A1685" s="5" t="str">
        <f t="shared" si="26"/>
        <v/>
      </c>
    </row>
    <row r="1686" spans="1:1" x14ac:dyDescent="0.2">
      <c r="A1686" s="5" t="str">
        <f t="shared" si="26"/>
        <v/>
      </c>
    </row>
    <row r="1687" spans="1:1" x14ac:dyDescent="0.2">
      <c r="A1687" s="5" t="str">
        <f t="shared" si="26"/>
        <v/>
      </c>
    </row>
    <row r="1688" spans="1:1" x14ac:dyDescent="0.2">
      <c r="A1688" s="5" t="str">
        <f t="shared" si="26"/>
        <v/>
      </c>
    </row>
    <row r="1689" spans="1:1" x14ac:dyDescent="0.2">
      <c r="A1689" s="5" t="str">
        <f t="shared" si="26"/>
        <v/>
      </c>
    </row>
    <row r="1690" spans="1:1" x14ac:dyDescent="0.2">
      <c r="A1690" s="5" t="str">
        <f t="shared" si="26"/>
        <v/>
      </c>
    </row>
    <row r="1691" spans="1:1" x14ac:dyDescent="0.2">
      <c r="A1691" s="5" t="str">
        <f t="shared" si="26"/>
        <v/>
      </c>
    </row>
    <row r="1692" spans="1:1" x14ac:dyDescent="0.2">
      <c r="A1692" s="5" t="str">
        <f t="shared" si="26"/>
        <v/>
      </c>
    </row>
    <row r="1693" spans="1:1" x14ac:dyDescent="0.2">
      <c r="A1693" s="5" t="str">
        <f t="shared" si="26"/>
        <v/>
      </c>
    </row>
    <row r="1694" spans="1:1" x14ac:dyDescent="0.2">
      <c r="A1694" s="5" t="str">
        <f t="shared" si="26"/>
        <v/>
      </c>
    </row>
    <row r="1695" spans="1:1" x14ac:dyDescent="0.2">
      <c r="A1695" s="5" t="str">
        <f t="shared" si="26"/>
        <v/>
      </c>
    </row>
    <row r="1696" spans="1:1" x14ac:dyDescent="0.2">
      <c r="A1696" s="5" t="str">
        <f t="shared" si="26"/>
        <v/>
      </c>
    </row>
    <row r="1697" spans="1:1" x14ac:dyDescent="0.2">
      <c r="A1697" s="5" t="str">
        <f t="shared" si="26"/>
        <v/>
      </c>
    </row>
    <row r="1698" spans="1:1" x14ac:dyDescent="0.2">
      <c r="A1698" s="5" t="str">
        <f t="shared" si="26"/>
        <v/>
      </c>
    </row>
    <row r="1699" spans="1:1" x14ac:dyDescent="0.2">
      <c r="A1699" s="5" t="str">
        <f t="shared" si="26"/>
        <v/>
      </c>
    </row>
    <row r="1700" spans="1:1" x14ac:dyDescent="0.2">
      <c r="A1700" s="5" t="str">
        <f t="shared" si="26"/>
        <v/>
      </c>
    </row>
    <row r="1701" spans="1:1" x14ac:dyDescent="0.2">
      <c r="A1701" s="5" t="str">
        <f t="shared" si="26"/>
        <v/>
      </c>
    </row>
    <row r="1702" spans="1:1" x14ac:dyDescent="0.2">
      <c r="A1702" s="5" t="str">
        <f t="shared" si="26"/>
        <v/>
      </c>
    </row>
    <row r="1703" spans="1:1" x14ac:dyDescent="0.2">
      <c r="A1703" s="5" t="str">
        <f t="shared" si="26"/>
        <v/>
      </c>
    </row>
    <row r="1704" spans="1:1" x14ac:dyDescent="0.2">
      <c r="A1704" s="5" t="str">
        <f t="shared" si="26"/>
        <v/>
      </c>
    </row>
    <row r="1705" spans="1:1" x14ac:dyDescent="0.2">
      <c r="A1705" s="5" t="str">
        <f t="shared" si="26"/>
        <v/>
      </c>
    </row>
    <row r="1706" spans="1:1" x14ac:dyDescent="0.2">
      <c r="A1706" s="5" t="str">
        <f t="shared" si="26"/>
        <v/>
      </c>
    </row>
    <row r="1707" spans="1:1" x14ac:dyDescent="0.2">
      <c r="A1707" s="5" t="str">
        <f t="shared" si="26"/>
        <v/>
      </c>
    </row>
    <row r="1708" spans="1:1" x14ac:dyDescent="0.2">
      <c r="A1708" s="5" t="str">
        <f t="shared" si="26"/>
        <v/>
      </c>
    </row>
    <row r="1709" spans="1:1" x14ac:dyDescent="0.2">
      <c r="A1709" s="5" t="str">
        <f t="shared" si="26"/>
        <v/>
      </c>
    </row>
    <row r="1710" spans="1:1" x14ac:dyDescent="0.2">
      <c r="A1710" s="5" t="str">
        <f t="shared" si="26"/>
        <v/>
      </c>
    </row>
    <row r="1711" spans="1:1" x14ac:dyDescent="0.2">
      <c r="A1711" s="5" t="str">
        <f t="shared" si="26"/>
        <v/>
      </c>
    </row>
    <row r="1712" spans="1:1" x14ac:dyDescent="0.2">
      <c r="A1712" s="5" t="str">
        <f t="shared" si="26"/>
        <v/>
      </c>
    </row>
    <row r="1713" spans="1:1" x14ac:dyDescent="0.2">
      <c r="A1713" s="5" t="str">
        <f t="shared" si="26"/>
        <v/>
      </c>
    </row>
    <row r="1714" spans="1:1" x14ac:dyDescent="0.2">
      <c r="A1714" s="5" t="str">
        <f t="shared" si="26"/>
        <v/>
      </c>
    </row>
    <row r="1715" spans="1:1" x14ac:dyDescent="0.2">
      <c r="A1715" s="5" t="str">
        <f t="shared" si="26"/>
        <v/>
      </c>
    </row>
    <row r="1716" spans="1:1" x14ac:dyDescent="0.2">
      <c r="A1716" s="5" t="str">
        <f t="shared" si="26"/>
        <v/>
      </c>
    </row>
    <row r="1717" spans="1:1" x14ac:dyDescent="0.2">
      <c r="A1717" s="5" t="str">
        <f t="shared" si="26"/>
        <v/>
      </c>
    </row>
    <row r="1718" spans="1:1" x14ac:dyDescent="0.2">
      <c r="A1718" s="5" t="str">
        <f t="shared" si="26"/>
        <v/>
      </c>
    </row>
    <row r="1719" spans="1:1" x14ac:dyDescent="0.2">
      <c r="A1719" s="5" t="str">
        <f t="shared" si="26"/>
        <v/>
      </c>
    </row>
    <row r="1720" spans="1:1" x14ac:dyDescent="0.2">
      <c r="A1720" s="5" t="str">
        <f t="shared" si="26"/>
        <v/>
      </c>
    </row>
    <row r="1721" spans="1:1" x14ac:dyDescent="0.2">
      <c r="A1721" s="5" t="str">
        <f t="shared" si="26"/>
        <v/>
      </c>
    </row>
    <row r="1722" spans="1:1" x14ac:dyDescent="0.2">
      <c r="A1722" s="5" t="str">
        <f t="shared" si="26"/>
        <v/>
      </c>
    </row>
    <row r="1723" spans="1:1" x14ac:dyDescent="0.2">
      <c r="A1723" s="5" t="str">
        <f t="shared" si="26"/>
        <v/>
      </c>
    </row>
    <row r="1724" spans="1:1" x14ac:dyDescent="0.2">
      <c r="A1724" s="5" t="str">
        <f t="shared" si="26"/>
        <v/>
      </c>
    </row>
    <row r="1725" spans="1:1" x14ac:dyDescent="0.2">
      <c r="A1725" s="5" t="str">
        <f t="shared" si="26"/>
        <v/>
      </c>
    </row>
    <row r="1726" spans="1:1" x14ac:dyDescent="0.2">
      <c r="A1726" s="5" t="str">
        <f t="shared" si="26"/>
        <v/>
      </c>
    </row>
    <row r="1727" spans="1:1" x14ac:dyDescent="0.2">
      <c r="A1727" s="5" t="str">
        <f t="shared" si="26"/>
        <v/>
      </c>
    </row>
    <row r="1728" spans="1:1" x14ac:dyDescent="0.2">
      <c r="A1728" s="5" t="str">
        <f t="shared" si="26"/>
        <v/>
      </c>
    </row>
    <row r="1729" spans="1:1" x14ac:dyDescent="0.2">
      <c r="A1729" s="5" t="str">
        <f t="shared" si="26"/>
        <v/>
      </c>
    </row>
    <row r="1730" spans="1:1" x14ac:dyDescent="0.2">
      <c r="A1730" s="5" t="str">
        <f t="shared" si="26"/>
        <v/>
      </c>
    </row>
    <row r="1731" spans="1:1" x14ac:dyDescent="0.2">
      <c r="A1731" s="5" t="str">
        <f t="shared" si="26"/>
        <v/>
      </c>
    </row>
    <row r="1732" spans="1:1" x14ac:dyDescent="0.2">
      <c r="A1732" s="5" t="str">
        <f t="shared" ref="A1732:A1795" si="27">IF(AND(B1731&lt;&gt;"",B1732=""),$A$2&amp;"---&gt;","")</f>
        <v/>
      </c>
    </row>
    <row r="1733" spans="1:1" x14ac:dyDescent="0.2">
      <c r="A1733" s="5" t="str">
        <f t="shared" si="27"/>
        <v/>
      </c>
    </row>
    <row r="1734" spans="1:1" x14ac:dyDescent="0.2">
      <c r="A1734" s="5" t="str">
        <f t="shared" si="27"/>
        <v/>
      </c>
    </row>
    <row r="1735" spans="1:1" x14ac:dyDescent="0.2">
      <c r="A1735" s="5" t="str">
        <f t="shared" si="27"/>
        <v/>
      </c>
    </row>
    <row r="1736" spans="1:1" x14ac:dyDescent="0.2">
      <c r="A1736" s="5" t="str">
        <f t="shared" si="27"/>
        <v/>
      </c>
    </row>
    <row r="1737" spans="1:1" x14ac:dyDescent="0.2">
      <c r="A1737" s="5" t="str">
        <f t="shared" si="27"/>
        <v/>
      </c>
    </row>
    <row r="1738" spans="1:1" x14ac:dyDescent="0.2">
      <c r="A1738" s="5" t="str">
        <f t="shared" si="27"/>
        <v/>
      </c>
    </row>
    <row r="1739" spans="1:1" x14ac:dyDescent="0.2">
      <c r="A1739" s="5" t="str">
        <f t="shared" si="27"/>
        <v/>
      </c>
    </row>
    <row r="1740" spans="1:1" x14ac:dyDescent="0.2">
      <c r="A1740" s="5" t="str">
        <f t="shared" si="27"/>
        <v/>
      </c>
    </row>
    <row r="1741" spans="1:1" x14ac:dyDescent="0.2">
      <c r="A1741" s="5" t="str">
        <f t="shared" si="27"/>
        <v/>
      </c>
    </row>
    <row r="1742" spans="1:1" x14ac:dyDescent="0.2">
      <c r="A1742" s="5" t="str">
        <f t="shared" si="27"/>
        <v/>
      </c>
    </row>
    <row r="1743" spans="1:1" x14ac:dyDescent="0.2">
      <c r="A1743" s="5" t="str">
        <f t="shared" si="27"/>
        <v/>
      </c>
    </row>
    <row r="1744" spans="1:1" x14ac:dyDescent="0.2">
      <c r="A1744" s="5" t="str">
        <f t="shared" si="27"/>
        <v/>
      </c>
    </row>
    <row r="1745" spans="1:1" x14ac:dyDescent="0.2">
      <c r="A1745" s="5" t="str">
        <f t="shared" si="27"/>
        <v/>
      </c>
    </row>
    <row r="1746" spans="1:1" x14ac:dyDescent="0.2">
      <c r="A1746" s="5" t="str">
        <f t="shared" si="27"/>
        <v/>
      </c>
    </row>
    <row r="1747" spans="1:1" x14ac:dyDescent="0.2">
      <c r="A1747" s="5" t="str">
        <f t="shared" si="27"/>
        <v/>
      </c>
    </row>
    <row r="1748" spans="1:1" x14ac:dyDescent="0.2">
      <c r="A1748" s="5" t="str">
        <f t="shared" si="27"/>
        <v/>
      </c>
    </row>
    <row r="1749" spans="1:1" x14ac:dyDescent="0.2">
      <c r="A1749" s="5" t="str">
        <f t="shared" si="27"/>
        <v/>
      </c>
    </row>
    <row r="1750" spans="1:1" x14ac:dyDescent="0.2">
      <c r="A1750" s="5" t="str">
        <f t="shared" si="27"/>
        <v/>
      </c>
    </row>
    <row r="1751" spans="1:1" x14ac:dyDescent="0.2">
      <c r="A1751" s="5" t="str">
        <f t="shared" si="27"/>
        <v/>
      </c>
    </row>
    <row r="1752" spans="1:1" x14ac:dyDescent="0.2">
      <c r="A1752" s="5" t="str">
        <f t="shared" si="27"/>
        <v/>
      </c>
    </row>
    <row r="1753" spans="1:1" x14ac:dyDescent="0.2">
      <c r="A1753" s="5" t="str">
        <f t="shared" si="27"/>
        <v/>
      </c>
    </row>
    <row r="1754" spans="1:1" x14ac:dyDescent="0.2">
      <c r="A1754" s="5" t="str">
        <f t="shared" si="27"/>
        <v/>
      </c>
    </row>
    <row r="1755" spans="1:1" x14ac:dyDescent="0.2">
      <c r="A1755" s="5" t="str">
        <f t="shared" si="27"/>
        <v/>
      </c>
    </row>
    <row r="1756" spans="1:1" x14ac:dyDescent="0.2">
      <c r="A1756" s="5" t="str">
        <f t="shared" si="27"/>
        <v/>
      </c>
    </row>
    <row r="1757" spans="1:1" x14ac:dyDescent="0.2">
      <c r="A1757" s="5" t="str">
        <f t="shared" si="27"/>
        <v/>
      </c>
    </row>
    <row r="1758" spans="1:1" x14ac:dyDescent="0.2">
      <c r="A1758" s="5" t="str">
        <f t="shared" si="27"/>
        <v/>
      </c>
    </row>
    <row r="1759" spans="1:1" x14ac:dyDescent="0.2">
      <c r="A1759" s="5" t="str">
        <f t="shared" si="27"/>
        <v/>
      </c>
    </row>
    <row r="1760" spans="1:1" x14ac:dyDescent="0.2">
      <c r="A1760" s="5" t="str">
        <f t="shared" si="27"/>
        <v/>
      </c>
    </row>
    <row r="1761" spans="1:1" x14ac:dyDescent="0.2">
      <c r="A1761" s="5" t="str">
        <f t="shared" si="27"/>
        <v/>
      </c>
    </row>
    <row r="1762" spans="1:1" x14ac:dyDescent="0.2">
      <c r="A1762" s="5" t="str">
        <f t="shared" si="27"/>
        <v/>
      </c>
    </row>
    <row r="1763" spans="1:1" x14ac:dyDescent="0.2">
      <c r="A1763" s="5" t="str">
        <f t="shared" si="27"/>
        <v/>
      </c>
    </row>
    <row r="1764" spans="1:1" x14ac:dyDescent="0.2">
      <c r="A1764" s="5" t="str">
        <f t="shared" si="27"/>
        <v/>
      </c>
    </row>
    <row r="1765" spans="1:1" x14ac:dyDescent="0.2">
      <c r="A1765" s="5" t="str">
        <f t="shared" si="27"/>
        <v/>
      </c>
    </row>
    <row r="1766" spans="1:1" x14ac:dyDescent="0.2">
      <c r="A1766" s="5" t="str">
        <f t="shared" si="27"/>
        <v/>
      </c>
    </row>
    <row r="1767" spans="1:1" x14ac:dyDescent="0.2">
      <c r="A1767" s="5" t="str">
        <f t="shared" si="27"/>
        <v/>
      </c>
    </row>
    <row r="1768" spans="1:1" x14ac:dyDescent="0.2">
      <c r="A1768" s="5" t="str">
        <f t="shared" si="27"/>
        <v/>
      </c>
    </row>
    <row r="1769" spans="1:1" x14ac:dyDescent="0.2">
      <c r="A1769" s="5" t="str">
        <f t="shared" si="27"/>
        <v/>
      </c>
    </row>
    <row r="1770" spans="1:1" x14ac:dyDescent="0.2">
      <c r="A1770" s="5" t="str">
        <f t="shared" si="27"/>
        <v/>
      </c>
    </row>
    <row r="1771" spans="1:1" x14ac:dyDescent="0.2">
      <c r="A1771" s="5" t="str">
        <f t="shared" si="27"/>
        <v/>
      </c>
    </row>
    <row r="1772" spans="1:1" x14ac:dyDescent="0.2">
      <c r="A1772" s="5" t="str">
        <f t="shared" si="27"/>
        <v/>
      </c>
    </row>
    <row r="1773" spans="1:1" x14ac:dyDescent="0.2">
      <c r="A1773" s="5" t="str">
        <f t="shared" si="27"/>
        <v/>
      </c>
    </row>
    <row r="1774" spans="1:1" x14ac:dyDescent="0.2">
      <c r="A1774" s="5" t="str">
        <f t="shared" si="27"/>
        <v/>
      </c>
    </row>
    <row r="1775" spans="1:1" x14ac:dyDescent="0.2">
      <c r="A1775" s="5" t="str">
        <f t="shared" si="27"/>
        <v/>
      </c>
    </row>
    <row r="1776" spans="1:1" x14ac:dyDescent="0.2">
      <c r="A1776" s="5" t="str">
        <f t="shared" si="27"/>
        <v/>
      </c>
    </row>
    <row r="1777" spans="1:1" x14ac:dyDescent="0.2">
      <c r="A1777" s="5" t="str">
        <f t="shared" si="27"/>
        <v/>
      </c>
    </row>
    <row r="1778" spans="1:1" x14ac:dyDescent="0.2">
      <c r="A1778" s="5" t="str">
        <f t="shared" si="27"/>
        <v/>
      </c>
    </row>
    <row r="1779" spans="1:1" x14ac:dyDescent="0.2">
      <c r="A1779" s="5" t="str">
        <f t="shared" si="27"/>
        <v/>
      </c>
    </row>
    <row r="1780" spans="1:1" x14ac:dyDescent="0.2">
      <c r="A1780" s="5" t="str">
        <f t="shared" si="27"/>
        <v/>
      </c>
    </row>
    <row r="1781" spans="1:1" x14ac:dyDescent="0.2">
      <c r="A1781" s="5" t="str">
        <f t="shared" si="27"/>
        <v/>
      </c>
    </row>
    <row r="1782" spans="1:1" x14ac:dyDescent="0.2">
      <c r="A1782" s="5" t="str">
        <f t="shared" si="27"/>
        <v/>
      </c>
    </row>
    <row r="1783" spans="1:1" x14ac:dyDescent="0.2">
      <c r="A1783" s="5" t="str">
        <f t="shared" si="27"/>
        <v/>
      </c>
    </row>
    <row r="1784" spans="1:1" x14ac:dyDescent="0.2">
      <c r="A1784" s="5" t="str">
        <f t="shared" si="27"/>
        <v/>
      </c>
    </row>
    <row r="1785" spans="1:1" x14ac:dyDescent="0.2">
      <c r="A1785" s="5" t="str">
        <f t="shared" si="27"/>
        <v/>
      </c>
    </row>
    <row r="1786" spans="1:1" x14ac:dyDescent="0.2">
      <c r="A1786" s="5" t="str">
        <f t="shared" si="27"/>
        <v/>
      </c>
    </row>
    <row r="1787" spans="1:1" x14ac:dyDescent="0.2">
      <c r="A1787" s="5" t="str">
        <f t="shared" si="27"/>
        <v/>
      </c>
    </row>
    <row r="1788" spans="1:1" x14ac:dyDescent="0.2">
      <c r="A1788" s="5" t="str">
        <f t="shared" si="27"/>
        <v/>
      </c>
    </row>
    <row r="1789" spans="1:1" x14ac:dyDescent="0.2">
      <c r="A1789" s="5" t="str">
        <f t="shared" si="27"/>
        <v/>
      </c>
    </row>
    <row r="1790" spans="1:1" x14ac:dyDescent="0.2">
      <c r="A1790" s="5" t="str">
        <f t="shared" si="27"/>
        <v/>
      </c>
    </row>
    <row r="1791" spans="1:1" x14ac:dyDescent="0.2">
      <c r="A1791" s="5" t="str">
        <f t="shared" si="27"/>
        <v/>
      </c>
    </row>
    <row r="1792" spans="1:1" x14ac:dyDescent="0.2">
      <c r="A1792" s="5" t="str">
        <f t="shared" si="27"/>
        <v/>
      </c>
    </row>
    <row r="1793" spans="1:1" x14ac:dyDescent="0.2">
      <c r="A1793" s="5" t="str">
        <f t="shared" si="27"/>
        <v/>
      </c>
    </row>
    <row r="1794" spans="1:1" x14ac:dyDescent="0.2">
      <c r="A1794" s="5" t="str">
        <f t="shared" si="27"/>
        <v/>
      </c>
    </row>
    <row r="1795" spans="1:1" x14ac:dyDescent="0.2">
      <c r="A1795" s="5" t="str">
        <f t="shared" si="27"/>
        <v/>
      </c>
    </row>
    <row r="1796" spans="1:1" x14ac:dyDescent="0.2">
      <c r="A1796" s="5" t="str">
        <f t="shared" ref="A1796:A1859" si="28">IF(AND(B1795&lt;&gt;"",B1796=""),$A$2&amp;"---&gt;","")</f>
        <v/>
      </c>
    </row>
    <row r="1797" spans="1:1" x14ac:dyDescent="0.2">
      <c r="A1797" s="5" t="str">
        <f t="shared" si="28"/>
        <v/>
      </c>
    </row>
    <row r="1798" spans="1:1" x14ac:dyDescent="0.2">
      <c r="A1798" s="5" t="str">
        <f t="shared" si="28"/>
        <v/>
      </c>
    </row>
    <row r="1799" spans="1:1" x14ac:dyDescent="0.2">
      <c r="A1799" s="5" t="str">
        <f t="shared" si="28"/>
        <v/>
      </c>
    </row>
    <row r="1800" spans="1:1" x14ac:dyDescent="0.2">
      <c r="A1800" s="5" t="str">
        <f t="shared" si="28"/>
        <v/>
      </c>
    </row>
    <row r="1801" spans="1:1" x14ac:dyDescent="0.2">
      <c r="A1801" s="5" t="str">
        <f t="shared" si="28"/>
        <v/>
      </c>
    </row>
    <row r="1802" spans="1:1" x14ac:dyDescent="0.2">
      <c r="A1802" s="5" t="str">
        <f t="shared" si="28"/>
        <v/>
      </c>
    </row>
    <row r="1803" spans="1:1" x14ac:dyDescent="0.2">
      <c r="A1803" s="5" t="str">
        <f t="shared" si="28"/>
        <v/>
      </c>
    </row>
    <row r="1804" spans="1:1" x14ac:dyDescent="0.2">
      <c r="A1804" s="5" t="str">
        <f t="shared" si="28"/>
        <v/>
      </c>
    </row>
    <row r="1805" spans="1:1" x14ac:dyDescent="0.2">
      <c r="A1805" s="5" t="str">
        <f t="shared" si="28"/>
        <v/>
      </c>
    </row>
    <row r="1806" spans="1:1" x14ac:dyDescent="0.2">
      <c r="A1806" s="5" t="str">
        <f t="shared" si="28"/>
        <v/>
      </c>
    </row>
    <row r="1807" spans="1:1" x14ac:dyDescent="0.2">
      <c r="A1807" s="5" t="str">
        <f t="shared" si="28"/>
        <v/>
      </c>
    </row>
    <row r="1808" spans="1:1" x14ac:dyDescent="0.2">
      <c r="A1808" s="5" t="str">
        <f t="shared" si="28"/>
        <v/>
      </c>
    </row>
    <row r="1809" spans="1:1" x14ac:dyDescent="0.2">
      <c r="A1809" s="5" t="str">
        <f t="shared" si="28"/>
        <v/>
      </c>
    </row>
    <row r="1810" spans="1:1" x14ac:dyDescent="0.2">
      <c r="A1810" s="5" t="str">
        <f t="shared" si="28"/>
        <v/>
      </c>
    </row>
    <row r="1811" spans="1:1" x14ac:dyDescent="0.2">
      <c r="A1811" s="5" t="str">
        <f t="shared" si="28"/>
        <v/>
      </c>
    </row>
    <row r="1812" spans="1:1" x14ac:dyDescent="0.2">
      <c r="A1812" s="5" t="str">
        <f t="shared" si="28"/>
        <v/>
      </c>
    </row>
    <row r="1813" spans="1:1" x14ac:dyDescent="0.2">
      <c r="A1813" s="5" t="str">
        <f t="shared" si="28"/>
        <v/>
      </c>
    </row>
    <row r="1814" spans="1:1" x14ac:dyDescent="0.2">
      <c r="A1814" s="5" t="str">
        <f t="shared" si="28"/>
        <v/>
      </c>
    </row>
    <row r="1815" spans="1:1" x14ac:dyDescent="0.2">
      <c r="A1815" s="5" t="str">
        <f t="shared" si="28"/>
        <v/>
      </c>
    </row>
    <row r="1816" spans="1:1" x14ac:dyDescent="0.2">
      <c r="A1816" s="5" t="str">
        <f t="shared" si="28"/>
        <v/>
      </c>
    </row>
    <row r="1817" spans="1:1" x14ac:dyDescent="0.2">
      <c r="A1817" s="5" t="str">
        <f t="shared" si="28"/>
        <v/>
      </c>
    </row>
    <row r="1818" spans="1:1" x14ac:dyDescent="0.2">
      <c r="A1818" s="5" t="str">
        <f t="shared" si="28"/>
        <v/>
      </c>
    </row>
    <row r="1819" spans="1:1" x14ac:dyDescent="0.2">
      <c r="A1819" s="5" t="str">
        <f t="shared" si="28"/>
        <v/>
      </c>
    </row>
    <row r="1820" spans="1:1" x14ac:dyDescent="0.2">
      <c r="A1820" s="5" t="str">
        <f t="shared" si="28"/>
        <v/>
      </c>
    </row>
    <row r="1821" spans="1:1" x14ac:dyDescent="0.2">
      <c r="A1821" s="5" t="str">
        <f t="shared" si="28"/>
        <v/>
      </c>
    </row>
    <row r="1822" spans="1:1" x14ac:dyDescent="0.2">
      <c r="A1822" s="5" t="str">
        <f t="shared" si="28"/>
        <v/>
      </c>
    </row>
    <row r="1823" spans="1:1" x14ac:dyDescent="0.2">
      <c r="A1823" s="5" t="str">
        <f t="shared" si="28"/>
        <v/>
      </c>
    </row>
    <row r="1824" spans="1:1" x14ac:dyDescent="0.2">
      <c r="A1824" s="5" t="str">
        <f t="shared" si="28"/>
        <v/>
      </c>
    </row>
    <row r="1825" spans="1:1" x14ac:dyDescent="0.2">
      <c r="A1825" s="5" t="str">
        <f t="shared" si="28"/>
        <v/>
      </c>
    </row>
    <row r="1826" spans="1:1" x14ac:dyDescent="0.2">
      <c r="A1826" s="5" t="str">
        <f t="shared" si="28"/>
        <v/>
      </c>
    </row>
    <row r="1827" spans="1:1" x14ac:dyDescent="0.2">
      <c r="A1827" s="5" t="str">
        <f t="shared" si="28"/>
        <v/>
      </c>
    </row>
    <row r="1828" spans="1:1" x14ac:dyDescent="0.2">
      <c r="A1828" s="5" t="str">
        <f t="shared" si="28"/>
        <v/>
      </c>
    </row>
    <row r="1829" spans="1:1" x14ac:dyDescent="0.2">
      <c r="A1829" s="5" t="str">
        <f t="shared" si="28"/>
        <v/>
      </c>
    </row>
    <row r="1830" spans="1:1" x14ac:dyDescent="0.2">
      <c r="A1830" s="5" t="str">
        <f t="shared" si="28"/>
        <v/>
      </c>
    </row>
    <row r="1831" spans="1:1" x14ac:dyDescent="0.2">
      <c r="A1831" s="5" t="str">
        <f t="shared" si="28"/>
        <v/>
      </c>
    </row>
    <row r="1832" spans="1:1" x14ac:dyDescent="0.2">
      <c r="A1832" s="5" t="str">
        <f t="shared" si="28"/>
        <v/>
      </c>
    </row>
    <row r="1833" spans="1:1" x14ac:dyDescent="0.2">
      <c r="A1833" s="5" t="str">
        <f t="shared" si="28"/>
        <v/>
      </c>
    </row>
    <row r="1834" spans="1:1" x14ac:dyDescent="0.2">
      <c r="A1834" s="5" t="str">
        <f t="shared" si="28"/>
        <v/>
      </c>
    </row>
    <row r="1835" spans="1:1" x14ac:dyDescent="0.2">
      <c r="A1835" s="5" t="str">
        <f t="shared" si="28"/>
        <v/>
      </c>
    </row>
    <row r="1836" spans="1:1" x14ac:dyDescent="0.2">
      <c r="A1836" s="5" t="str">
        <f t="shared" si="28"/>
        <v/>
      </c>
    </row>
    <row r="1837" spans="1:1" x14ac:dyDescent="0.2">
      <c r="A1837" s="5" t="str">
        <f t="shared" si="28"/>
        <v/>
      </c>
    </row>
    <row r="1838" spans="1:1" x14ac:dyDescent="0.2">
      <c r="A1838" s="5" t="str">
        <f t="shared" si="28"/>
        <v/>
      </c>
    </row>
    <row r="1839" spans="1:1" x14ac:dyDescent="0.2">
      <c r="A1839" s="5" t="str">
        <f t="shared" si="28"/>
        <v/>
      </c>
    </row>
    <row r="1840" spans="1:1" x14ac:dyDescent="0.2">
      <c r="A1840" s="5" t="str">
        <f t="shared" si="28"/>
        <v/>
      </c>
    </row>
    <row r="1841" spans="1:1" x14ac:dyDescent="0.2">
      <c r="A1841" s="5" t="str">
        <f t="shared" si="28"/>
        <v/>
      </c>
    </row>
    <row r="1842" spans="1:1" x14ac:dyDescent="0.2">
      <c r="A1842" s="5" t="str">
        <f t="shared" si="28"/>
        <v/>
      </c>
    </row>
    <row r="1843" spans="1:1" x14ac:dyDescent="0.2">
      <c r="A1843" s="5" t="str">
        <f t="shared" si="28"/>
        <v/>
      </c>
    </row>
    <row r="1844" spans="1:1" x14ac:dyDescent="0.2">
      <c r="A1844" s="5" t="str">
        <f t="shared" si="28"/>
        <v/>
      </c>
    </row>
    <row r="1845" spans="1:1" x14ac:dyDescent="0.2">
      <c r="A1845" s="5" t="str">
        <f t="shared" si="28"/>
        <v/>
      </c>
    </row>
    <row r="1846" spans="1:1" x14ac:dyDescent="0.2">
      <c r="A1846" s="5" t="str">
        <f t="shared" si="28"/>
        <v/>
      </c>
    </row>
    <row r="1847" spans="1:1" x14ac:dyDescent="0.2">
      <c r="A1847" s="5" t="str">
        <f t="shared" si="28"/>
        <v/>
      </c>
    </row>
    <row r="1848" spans="1:1" x14ac:dyDescent="0.2">
      <c r="A1848" s="5" t="str">
        <f t="shared" si="28"/>
        <v/>
      </c>
    </row>
    <row r="1849" spans="1:1" x14ac:dyDescent="0.2">
      <c r="A1849" s="5" t="str">
        <f t="shared" si="28"/>
        <v/>
      </c>
    </row>
    <row r="1850" spans="1:1" x14ac:dyDescent="0.2">
      <c r="A1850" s="5" t="str">
        <f t="shared" si="28"/>
        <v/>
      </c>
    </row>
    <row r="1851" spans="1:1" x14ac:dyDescent="0.2">
      <c r="A1851" s="5" t="str">
        <f t="shared" si="28"/>
        <v/>
      </c>
    </row>
    <row r="1852" spans="1:1" x14ac:dyDescent="0.2">
      <c r="A1852" s="5" t="str">
        <f t="shared" si="28"/>
        <v/>
      </c>
    </row>
    <row r="1853" spans="1:1" x14ac:dyDescent="0.2">
      <c r="A1853" s="5" t="str">
        <f t="shared" si="28"/>
        <v/>
      </c>
    </row>
    <row r="1854" spans="1:1" x14ac:dyDescent="0.2">
      <c r="A1854" s="5" t="str">
        <f t="shared" si="28"/>
        <v/>
      </c>
    </row>
    <row r="1855" spans="1:1" x14ac:dyDescent="0.2">
      <c r="A1855" s="5" t="str">
        <f t="shared" si="28"/>
        <v/>
      </c>
    </row>
    <row r="1856" spans="1:1" x14ac:dyDescent="0.2">
      <c r="A1856" s="5" t="str">
        <f t="shared" si="28"/>
        <v/>
      </c>
    </row>
    <row r="1857" spans="1:1" x14ac:dyDescent="0.2">
      <c r="A1857" s="5" t="str">
        <f t="shared" si="28"/>
        <v/>
      </c>
    </row>
    <row r="1858" spans="1:1" x14ac:dyDescent="0.2">
      <c r="A1858" s="5" t="str">
        <f t="shared" si="28"/>
        <v/>
      </c>
    </row>
    <row r="1859" spans="1:1" x14ac:dyDescent="0.2">
      <c r="A1859" s="5" t="str">
        <f t="shared" si="28"/>
        <v/>
      </c>
    </row>
    <row r="1860" spans="1:1" x14ac:dyDescent="0.2">
      <c r="A1860" s="5" t="str">
        <f t="shared" ref="A1860:A1923" si="29">IF(AND(B1859&lt;&gt;"",B1860=""),$A$2&amp;"---&gt;","")</f>
        <v/>
      </c>
    </row>
    <row r="1861" spans="1:1" x14ac:dyDescent="0.2">
      <c r="A1861" s="5" t="str">
        <f t="shared" si="29"/>
        <v/>
      </c>
    </row>
    <row r="1862" spans="1:1" x14ac:dyDescent="0.2">
      <c r="A1862" s="5" t="str">
        <f t="shared" si="29"/>
        <v/>
      </c>
    </row>
    <row r="1863" spans="1:1" x14ac:dyDescent="0.2">
      <c r="A1863" s="5" t="str">
        <f t="shared" si="29"/>
        <v/>
      </c>
    </row>
    <row r="1864" spans="1:1" x14ac:dyDescent="0.2">
      <c r="A1864" s="5" t="str">
        <f t="shared" si="29"/>
        <v/>
      </c>
    </row>
    <row r="1865" spans="1:1" x14ac:dyDescent="0.2">
      <c r="A1865" s="5" t="str">
        <f t="shared" si="29"/>
        <v/>
      </c>
    </row>
    <row r="1866" spans="1:1" x14ac:dyDescent="0.2">
      <c r="A1866" s="5" t="str">
        <f t="shared" si="29"/>
        <v/>
      </c>
    </row>
    <row r="1867" spans="1:1" x14ac:dyDescent="0.2">
      <c r="A1867" s="5" t="str">
        <f t="shared" si="29"/>
        <v/>
      </c>
    </row>
    <row r="1868" spans="1:1" x14ac:dyDescent="0.2">
      <c r="A1868" s="5" t="str">
        <f t="shared" si="29"/>
        <v/>
      </c>
    </row>
    <row r="1869" spans="1:1" x14ac:dyDescent="0.2">
      <c r="A1869" s="5" t="str">
        <f t="shared" si="29"/>
        <v/>
      </c>
    </row>
    <row r="1870" spans="1:1" x14ac:dyDescent="0.2">
      <c r="A1870" s="5" t="str">
        <f t="shared" si="29"/>
        <v/>
      </c>
    </row>
    <row r="1871" spans="1:1" x14ac:dyDescent="0.2">
      <c r="A1871" s="5" t="str">
        <f t="shared" si="29"/>
        <v/>
      </c>
    </row>
    <row r="1872" spans="1:1" x14ac:dyDescent="0.2">
      <c r="A1872" s="5" t="str">
        <f t="shared" si="29"/>
        <v/>
      </c>
    </row>
    <row r="1873" spans="1:1" x14ac:dyDescent="0.2">
      <c r="A1873" s="5" t="str">
        <f t="shared" si="29"/>
        <v/>
      </c>
    </row>
    <row r="1874" spans="1:1" x14ac:dyDescent="0.2">
      <c r="A1874" s="5" t="str">
        <f t="shared" si="29"/>
        <v/>
      </c>
    </row>
    <row r="1875" spans="1:1" x14ac:dyDescent="0.2">
      <c r="A1875" s="5" t="str">
        <f t="shared" si="29"/>
        <v/>
      </c>
    </row>
    <row r="1876" spans="1:1" x14ac:dyDescent="0.2">
      <c r="A1876" s="5" t="str">
        <f t="shared" si="29"/>
        <v/>
      </c>
    </row>
    <row r="1877" spans="1:1" x14ac:dyDescent="0.2">
      <c r="A1877" s="5" t="str">
        <f t="shared" si="29"/>
        <v/>
      </c>
    </row>
    <row r="1878" spans="1:1" x14ac:dyDescent="0.2">
      <c r="A1878" s="5" t="str">
        <f t="shared" si="29"/>
        <v/>
      </c>
    </row>
    <row r="1879" spans="1:1" x14ac:dyDescent="0.2">
      <c r="A1879" s="5" t="str">
        <f t="shared" si="29"/>
        <v/>
      </c>
    </row>
    <row r="1880" spans="1:1" x14ac:dyDescent="0.2">
      <c r="A1880" s="5" t="str">
        <f t="shared" si="29"/>
        <v/>
      </c>
    </row>
    <row r="1881" spans="1:1" x14ac:dyDescent="0.2">
      <c r="A1881" s="5" t="str">
        <f t="shared" si="29"/>
        <v/>
      </c>
    </row>
    <row r="1882" spans="1:1" x14ac:dyDescent="0.2">
      <c r="A1882" s="5" t="str">
        <f t="shared" si="29"/>
        <v/>
      </c>
    </row>
    <row r="1883" spans="1:1" x14ac:dyDescent="0.2">
      <c r="A1883" s="5" t="str">
        <f t="shared" si="29"/>
        <v/>
      </c>
    </row>
    <row r="1884" spans="1:1" x14ac:dyDescent="0.2">
      <c r="A1884" s="5" t="str">
        <f t="shared" si="29"/>
        <v/>
      </c>
    </row>
    <row r="1885" spans="1:1" x14ac:dyDescent="0.2">
      <c r="A1885" s="5" t="str">
        <f t="shared" si="29"/>
        <v/>
      </c>
    </row>
    <row r="1886" spans="1:1" x14ac:dyDescent="0.2">
      <c r="A1886" s="5" t="str">
        <f t="shared" si="29"/>
        <v/>
      </c>
    </row>
    <row r="1887" spans="1:1" x14ac:dyDescent="0.2">
      <c r="A1887" s="5" t="str">
        <f t="shared" si="29"/>
        <v/>
      </c>
    </row>
    <row r="1888" spans="1:1" x14ac:dyDescent="0.2">
      <c r="A1888" s="5" t="str">
        <f t="shared" si="29"/>
        <v/>
      </c>
    </row>
    <row r="1889" spans="1:1" x14ac:dyDescent="0.2">
      <c r="A1889" s="5" t="str">
        <f t="shared" si="29"/>
        <v/>
      </c>
    </row>
    <row r="1890" spans="1:1" x14ac:dyDescent="0.2">
      <c r="A1890" s="5" t="str">
        <f t="shared" si="29"/>
        <v/>
      </c>
    </row>
    <row r="1891" spans="1:1" x14ac:dyDescent="0.2">
      <c r="A1891" s="5" t="str">
        <f t="shared" si="29"/>
        <v/>
      </c>
    </row>
    <row r="1892" spans="1:1" x14ac:dyDescent="0.2">
      <c r="A1892" s="5" t="str">
        <f t="shared" si="29"/>
        <v/>
      </c>
    </row>
    <row r="1893" spans="1:1" x14ac:dyDescent="0.2">
      <c r="A1893" s="5" t="str">
        <f t="shared" si="29"/>
        <v/>
      </c>
    </row>
    <row r="1894" spans="1:1" x14ac:dyDescent="0.2">
      <c r="A1894" s="5" t="str">
        <f t="shared" si="29"/>
        <v/>
      </c>
    </row>
    <row r="1895" spans="1:1" x14ac:dyDescent="0.2">
      <c r="A1895" s="5" t="str">
        <f t="shared" si="29"/>
        <v/>
      </c>
    </row>
    <row r="1896" spans="1:1" x14ac:dyDescent="0.2">
      <c r="A1896" s="5" t="str">
        <f t="shared" si="29"/>
        <v/>
      </c>
    </row>
    <row r="1897" spans="1:1" x14ac:dyDescent="0.2">
      <c r="A1897" s="5" t="str">
        <f t="shared" si="29"/>
        <v/>
      </c>
    </row>
    <row r="1898" spans="1:1" x14ac:dyDescent="0.2">
      <c r="A1898" s="5" t="str">
        <f t="shared" si="29"/>
        <v/>
      </c>
    </row>
    <row r="1899" spans="1:1" x14ac:dyDescent="0.2">
      <c r="A1899" s="5" t="str">
        <f t="shared" si="29"/>
        <v/>
      </c>
    </row>
    <row r="1900" spans="1:1" x14ac:dyDescent="0.2">
      <c r="A1900" s="5" t="str">
        <f t="shared" si="29"/>
        <v/>
      </c>
    </row>
    <row r="1901" spans="1:1" x14ac:dyDescent="0.2">
      <c r="A1901" s="5" t="str">
        <f t="shared" si="29"/>
        <v/>
      </c>
    </row>
    <row r="1902" spans="1:1" x14ac:dyDescent="0.2">
      <c r="A1902" s="5" t="str">
        <f t="shared" si="29"/>
        <v/>
      </c>
    </row>
    <row r="1903" spans="1:1" x14ac:dyDescent="0.2">
      <c r="A1903" s="5" t="str">
        <f t="shared" si="29"/>
        <v/>
      </c>
    </row>
    <row r="1904" spans="1:1" x14ac:dyDescent="0.2">
      <c r="A1904" s="5" t="str">
        <f t="shared" si="29"/>
        <v/>
      </c>
    </row>
    <row r="1905" spans="1:1" x14ac:dyDescent="0.2">
      <c r="A1905" s="5" t="str">
        <f t="shared" si="29"/>
        <v/>
      </c>
    </row>
    <row r="1906" spans="1:1" x14ac:dyDescent="0.2">
      <c r="A1906" s="5" t="str">
        <f t="shared" si="29"/>
        <v/>
      </c>
    </row>
    <row r="1907" spans="1:1" x14ac:dyDescent="0.2">
      <c r="A1907" s="5" t="str">
        <f t="shared" si="29"/>
        <v/>
      </c>
    </row>
    <row r="1908" spans="1:1" x14ac:dyDescent="0.2">
      <c r="A1908" s="5" t="str">
        <f t="shared" si="29"/>
        <v/>
      </c>
    </row>
    <row r="1909" spans="1:1" x14ac:dyDescent="0.2">
      <c r="A1909" s="5" t="str">
        <f t="shared" si="29"/>
        <v/>
      </c>
    </row>
    <row r="1910" spans="1:1" x14ac:dyDescent="0.2">
      <c r="A1910" s="5" t="str">
        <f t="shared" si="29"/>
        <v/>
      </c>
    </row>
    <row r="1911" spans="1:1" x14ac:dyDescent="0.2">
      <c r="A1911" s="5" t="str">
        <f t="shared" si="29"/>
        <v/>
      </c>
    </row>
    <row r="1912" spans="1:1" x14ac:dyDescent="0.2">
      <c r="A1912" s="5" t="str">
        <f t="shared" si="29"/>
        <v/>
      </c>
    </row>
    <row r="1913" spans="1:1" x14ac:dyDescent="0.2">
      <c r="A1913" s="5" t="str">
        <f t="shared" si="29"/>
        <v/>
      </c>
    </row>
    <row r="1914" spans="1:1" x14ac:dyDescent="0.2">
      <c r="A1914" s="5" t="str">
        <f t="shared" si="29"/>
        <v/>
      </c>
    </row>
    <row r="1915" spans="1:1" x14ac:dyDescent="0.2">
      <c r="A1915" s="5" t="str">
        <f t="shared" si="29"/>
        <v/>
      </c>
    </row>
    <row r="1916" spans="1:1" x14ac:dyDescent="0.2">
      <c r="A1916" s="5" t="str">
        <f t="shared" si="29"/>
        <v/>
      </c>
    </row>
    <row r="1917" spans="1:1" x14ac:dyDescent="0.2">
      <c r="A1917" s="5" t="str">
        <f t="shared" si="29"/>
        <v/>
      </c>
    </row>
    <row r="1918" spans="1:1" x14ac:dyDescent="0.2">
      <c r="A1918" s="5" t="str">
        <f t="shared" si="29"/>
        <v/>
      </c>
    </row>
    <row r="1919" spans="1:1" x14ac:dyDescent="0.2">
      <c r="A1919" s="5" t="str">
        <f t="shared" si="29"/>
        <v/>
      </c>
    </row>
    <row r="1920" spans="1:1" x14ac:dyDescent="0.2">
      <c r="A1920" s="5" t="str">
        <f t="shared" si="29"/>
        <v/>
      </c>
    </row>
    <row r="1921" spans="1:1" x14ac:dyDescent="0.2">
      <c r="A1921" s="5" t="str">
        <f t="shared" si="29"/>
        <v/>
      </c>
    </row>
    <row r="1922" spans="1:1" x14ac:dyDescent="0.2">
      <c r="A1922" s="5" t="str">
        <f t="shared" si="29"/>
        <v/>
      </c>
    </row>
    <row r="1923" spans="1:1" x14ac:dyDescent="0.2">
      <c r="A1923" s="5" t="str">
        <f t="shared" si="29"/>
        <v/>
      </c>
    </row>
    <row r="1924" spans="1:1" x14ac:dyDescent="0.2">
      <c r="A1924" s="5" t="str">
        <f t="shared" ref="A1924:A1987" si="30">IF(AND(B1923&lt;&gt;"",B1924=""),$A$2&amp;"---&gt;","")</f>
        <v/>
      </c>
    </row>
    <row r="1925" spans="1:1" x14ac:dyDescent="0.2">
      <c r="A1925" s="5" t="str">
        <f t="shared" si="30"/>
        <v/>
      </c>
    </row>
    <row r="1926" spans="1:1" x14ac:dyDescent="0.2">
      <c r="A1926" s="5" t="str">
        <f t="shared" si="30"/>
        <v/>
      </c>
    </row>
    <row r="1927" spans="1:1" x14ac:dyDescent="0.2">
      <c r="A1927" s="5" t="str">
        <f t="shared" si="30"/>
        <v/>
      </c>
    </row>
    <row r="1928" spans="1:1" x14ac:dyDescent="0.2">
      <c r="A1928" s="5" t="str">
        <f t="shared" si="30"/>
        <v/>
      </c>
    </row>
    <row r="1929" spans="1:1" x14ac:dyDescent="0.2">
      <c r="A1929" s="5" t="str">
        <f t="shared" si="30"/>
        <v/>
      </c>
    </row>
    <row r="1930" spans="1:1" x14ac:dyDescent="0.2">
      <c r="A1930" s="5" t="str">
        <f t="shared" si="30"/>
        <v/>
      </c>
    </row>
    <row r="1931" spans="1:1" x14ac:dyDescent="0.2">
      <c r="A1931" s="5" t="str">
        <f t="shared" si="30"/>
        <v/>
      </c>
    </row>
    <row r="1932" spans="1:1" x14ac:dyDescent="0.2">
      <c r="A1932" s="5" t="str">
        <f t="shared" si="30"/>
        <v/>
      </c>
    </row>
    <row r="1933" spans="1:1" x14ac:dyDescent="0.2">
      <c r="A1933" s="5" t="str">
        <f t="shared" si="30"/>
        <v/>
      </c>
    </row>
    <row r="1934" spans="1:1" x14ac:dyDescent="0.2">
      <c r="A1934" s="5" t="str">
        <f t="shared" si="30"/>
        <v/>
      </c>
    </row>
    <row r="1935" spans="1:1" x14ac:dyDescent="0.2">
      <c r="A1935" s="5" t="str">
        <f t="shared" si="30"/>
        <v/>
      </c>
    </row>
    <row r="1936" spans="1:1" x14ac:dyDescent="0.2">
      <c r="A1936" s="5" t="str">
        <f t="shared" si="30"/>
        <v/>
      </c>
    </row>
    <row r="1937" spans="1:1" x14ac:dyDescent="0.2">
      <c r="A1937" s="5" t="str">
        <f t="shared" si="30"/>
        <v/>
      </c>
    </row>
    <row r="1938" spans="1:1" x14ac:dyDescent="0.2">
      <c r="A1938" s="5" t="str">
        <f t="shared" si="30"/>
        <v/>
      </c>
    </row>
    <row r="1939" spans="1:1" x14ac:dyDescent="0.2">
      <c r="A1939" s="5" t="str">
        <f t="shared" si="30"/>
        <v/>
      </c>
    </row>
    <row r="1940" spans="1:1" x14ac:dyDescent="0.2">
      <c r="A1940" s="5" t="str">
        <f t="shared" si="30"/>
        <v/>
      </c>
    </row>
    <row r="1941" spans="1:1" x14ac:dyDescent="0.2">
      <c r="A1941" s="5" t="str">
        <f t="shared" si="30"/>
        <v/>
      </c>
    </row>
    <row r="1942" spans="1:1" x14ac:dyDescent="0.2">
      <c r="A1942" s="5" t="str">
        <f t="shared" si="30"/>
        <v/>
      </c>
    </row>
    <row r="1943" spans="1:1" x14ac:dyDescent="0.2">
      <c r="A1943" s="5" t="str">
        <f t="shared" si="30"/>
        <v/>
      </c>
    </row>
    <row r="1944" spans="1:1" x14ac:dyDescent="0.2">
      <c r="A1944" s="5" t="str">
        <f t="shared" si="30"/>
        <v/>
      </c>
    </row>
    <row r="1945" spans="1:1" x14ac:dyDescent="0.2">
      <c r="A1945" s="5" t="str">
        <f t="shared" si="30"/>
        <v/>
      </c>
    </row>
    <row r="1946" spans="1:1" x14ac:dyDescent="0.2">
      <c r="A1946" s="5" t="str">
        <f t="shared" si="30"/>
        <v/>
      </c>
    </row>
    <row r="1947" spans="1:1" x14ac:dyDescent="0.2">
      <c r="A1947" s="5" t="str">
        <f t="shared" si="30"/>
        <v/>
      </c>
    </row>
    <row r="1948" spans="1:1" x14ac:dyDescent="0.2">
      <c r="A1948" s="5" t="str">
        <f t="shared" si="30"/>
        <v/>
      </c>
    </row>
    <row r="1949" spans="1:1" x14ac:dyDescent="0.2">
      <c r="A1949" s="5" t="str">
        <f t="shared" si="30"/>
        <v/>
      </c>
    </row>
    <row r="1950" spans="1:1" x14ac:dyDescent="0.2">
      <c r="A1950" s="5" t="str">
        <f t="shared" si="30"/>
        <v/>
      </c>
    </row>
    <row r="1951" spans="1:1" x14ac:dyDescent="0.2">
      <c r="A1951" s="5" t="str">
        <f t="shared" si="30"/>
        <v/>
      </c>
    </row>
    <row r="1952" spans="1:1" x14ac:dyDescent="0.2">
      <c r="A1952" s="5" t="str">
        <f t="shared" si="30"/>
        <v/>
      </c>
    </row>
    <row r="1953" spans="1:1" x14ac:dyDescent="0.2">
      <c r="A1953" s="5" t="str">
        <f t="shared" si="30"/>
        <v/>
      </c>
    </row>
    <row r="1954" spans="1:1" x14ac:dyDescent="0.2">
      <c r="A1954" s="5" t="str">
        <f t="shared" si="30"/>
        <v/>
      </c>
    </row>
    <row r="1955" spans="1:1" x14ac:dyDescent="0.2">
      <c r="A1955" s="5" t="str">
        <f t="shared" si="30"/>
        <v/>
      </c>
    </row>
    <row r="1956" spans="1:1" x14ac:dyDescent="0.2">
      <c r="A1956" s="5" t="str">
        <f t="shared" si="30"/>
        <v/>
      </c>
    </row>
    <row r="1957" spans="1:1" x14ac:dyDescent="0.2">
      <c r="A1957" s="5" t="str">
        <f t="shared" si="30"/>
        <v/>
      </c>
    </row>
    <row r="1958" spans="1:1" x14ac:dyDescent="0.2">
      <c r="A1958" s="5" t="str">
        <f t="shared" si="30"/>
        <v/>
      </c>
    </row>
    <row r="1959" spans="1:1" x14ac:dyDescent="0.2">
      <c r="A1959" s="5" t="str">
        <f t="shared" si="30"/>
        <v/>
      </c>
    </row>
    <row r="1960" spans="1:1" x14ac:dyDescent="0.2">
      <c r="A1960" s="5" t="str">
        <f t="shared" si="30"/>
        <v/>
      </c>
    </row>
    <row r="1961" spans="1:1" x14ac:dyDescent="0.2">
      <c r="A1961" s="5" t="str">
        <f t="shared" si="30"/>
        <v/>
      </c>
    </row>
    <row r="1962" spans="1:1" x14ac:dyDescent="0.2">
      <c r="A1962" s="5" t="str">
        <f t="shared" si="30"/>
        <v/>
      </c>
    </row>
    <row r="1963" spans="1:1" x14ac:dyDescent="0.2">
      <c r="A1963" s="5" t="str">
        <f t="shared" si="30"/>
        <v/>
      </c>
    </row>
    <row r="1964" spans="1:1" x14ac:dyDescent="0.2">
      <c r="A1964" s="5" t="str">
        <f t="shared" si="30"/>
        <v/>
      </c>
    </row>
    <row r="1965" spans="1:1" x14ac:dyDescent="0.2">
      <c r="A1965" s="5" t="str">
        <f t="shared" si="30"/>
        <v/>
      </c>
    </row>
    <row r="1966" spans="1:1" x14ac:dyDescent="0.2">
      <c r="A1966" s="5" t="str">
        <f t="shared" si="30"/>
        <v/>
      </c>
    </row>
    <row r="1967" spans="1:1" x14ac:dyDescent="0.2">
      <c r="A1967" s="5" t="str">
        <f t="shared" si="30"/>
        <v/>
      </c>
    </row>
    <row r="1968" spans="1:1" x14ac:dyDescent="0.2">
      <c r="A1968" s="5" t="str">
        <f t="shared" si="30"/>
        <v/>
      </c>
    </row>
    <row r="1969" spans="1:1" x14ac:dyDescent="0.2">
      <c r="A1969" s="5" t="str">
        <f t="shared" si="30"/>
        <v/>
      </c>
    </row>
    <row r="1970" spans="1:1" x14ac:dyDescent="0.2">
      <c r="A1970" s="5" t="str">
        <f t="shared" si="30"/>
        <v/>
      </c>
    </row>
    <row r="1971" spans="1:1" x14ac:dyDescent="0.2">
      <c r="A1971" s="5" t="str">
        <f t="shared" si="30"/>
        <v/>
      </c>
    </row>
    <row r="1972" spans="1:1" x14ac:dyDescent="0.2">
      <c r="A1972" s="5" t="str">
        <f t="shared" si="30"/>
        <v/>
      </c>
    </row>
    <row r="1973" spans="1:1" x14ac:dyDescent="0.2">
      <c r="A1973" s="5" t="str">
        <f t="shared" si="30"/>
        <v/>
      </c>
    </row>
    <row r="1974" spans="1:1" x14ac:dyDescent="0.2">
      <c r="A1974" s="5" t="str">
        <f t="shared" si="30"/>
        <v/>
      </c>
    </row>
    <row r="1975" spans="1:1" x14ac:dyDescent="0.2">
      <c r="A1975" s="5" t="str">
        <f t="shared" si="30"/>
        <v/>
      </c>
    </row>
    <row r="1976" spans="1:1" x14ac:dyDescent="0.2">
      <c r="A1976" s="5" t="str">
        <f t="shared" si="30"/>
        <v/>
      </c>
    </row>
    <row r="1977" spans="1:1" x14ac:dyDescent="0.2">
      <c r="A1977" s="5" t="str">
        <f t="shared" si="30"/>
        <v/>
      </c>
    </row>
    <row r="1978" spans="1:1" x14ac:dyDescent="0.2">
      <c r="A1978" s="5" t="str">
        <f t="shared" si="30"/>
        <v/>
      </c>
    </row>
    <row r="1979" spans="1:1" x14ac:dyDescent="0.2">
      <c r="A1979" s="5" t="str">
        <f t="shared" si="30"/>
        <v/>
      </c>
    </row>
    <row r="1980" spans="1:1" x14ac:dyDescent="0.2">
      <c r="A1980" s="5" t="str">
        <f t="shared" si="30"/>
        <v/>
      </c>
    </row>
    <row r="1981" spans="1:1" x14ac:dyDescent="0.2">
      <c r="A1981" s="5" t="str">
        <f t="shared" si="30"/>
        <v/>
      </c>
    </row>
    <row r="1982" spans="1:1" x14ac:dyDescent="0.2">
      <c r="A1982" s="5" t="str">
        <f t="shared" si="30"/>
        <v/>
      </c>
    </row>
    <row r="1983" spans="1:1" x14ac:dyDescent="0.2">
      <c r="A1983" s="5" t="str">
        <f t="shared" si="30"/>
        <v/>
      </c>
    </row>
    <row r="1984" spans="1:1" x14ac:dyDescent="0.2">
      <c r="A1984" s="5" t="str">
        <f t="shared" si="30"/>
        <v/>
      </c>
    </row>
    <row r="1985" spans="1:1" x14ac:dyDescent="0.2">
      <c r="A1985" s="5" t="str">
        <f t="shared" si="30"/>
        <v/>
      </c>
    </row>
    <row r="1986" spans="1:1" x14ac:dyDescent="0.2">
      <c r="A1986" s="5" t="str">
        <f t="shared" si="30"/>
        <v/>
      </c>
    </row>
    <row r="1987" spans="1:1" x14ac:dyDescent="0.2">
      <c r="A1987" s="5" t="str">
        <f t="shared" si="30"/>
        <v/>
      </c>
    </row>
    <row r="1988" spans="1:1" x14ac:dyDescent="0.2">
      <c r="A1988" s="5" t="str">
        <f t="shared" ref="A1988:A2051" si="31">IF(AND(B1987&lt;&gt;"",B1988=""),$A$2&amp;"---&gt;","")</f>
        <v/>
      </c>
    </row>
    <row r="1989" spans="1:1" x14ac:dyDescent="0.2">
      <c r="A1989" s="5" t="str">
        <f t="shared" si="31"/>
        <v/>
      </c>
    </row>
    <row r="1990" spans="1:1" x14ac:dyDescent="0.2">
      <c r="A1990" s="5" t="str">
        <f t="shared" si="31"/>
        <v/>
      </c>
    </row>
    <row r="1991" spans="1:1" x14ac:dyDescent="0.2">
      <c r="A1991" s="5" t="str">
        <f t="shared" si="31"/>
        <v/>
      </c>
    </row>
    <row r="1992" spans="1:1" x14ac:dyDescent="0.2">
      <c r="A1992" s="5" t="str">
        <f t="shared" si="31"/>
        <v/>
      </c>
    </row>
    <row r="1993" spans="1:1" x14ac:dyDescent="0.2">
      <c r="A1993" s="5" t="str">
        <f t="shared" si="31"/>
        <v/>
      </c>
    </row>
    <row r="1994" spans="1:1" x14ac:dyDescent="0.2">
      <c r="A1994" s="5" t="str">
        <f t="shared" si="31"/>
        <v/>
      </c>
    </row>
    <row r="1995" spans="1:1" x14ac:dyDescent="0.2">
      <c r="A1995" s="5" t="str">
        <f t="shared" si="31"/>
        <v/>
      </c>
    </row>
    <row r="1996" spans="1:1" x14ac:dyDescent="0.2">
      <c r="A1996" s="5" t="str">
        <f t="shared" si="31"/>
        <v/>
      </c>
    </row>
    <row r="1997" spans="1:1" x14ac:dyDescent="0.2">
      <c r="A1997" s="5" t="str">
        <f t="shared" si="31"/>
        <v/>
      </c>
    </row>
    <row r="1998" spans="1:1" x14ac:dyDescent="0.2">
      <c r="A1998" s="5" t="str">
        <f t="shared" si="31"/>
        <v/>
      </c>
    </row>
    <row r="1999" spans="1:1" x14ac:dyDescent="0.2">
      <c r="A1999" s="5" t="str">
        <f t="shared" si="31"/>
        <v/>
      </c>
    </row>
    <row r="2000" spans="1:1" x14ac:dyDescent="0.2">
      <c r="A2000" s="5" t="str">
        <f t="shared" si="31"/>
        <v/>
      </c>
    </row>
    <row r="2001" spans="1:1" x14ac:dyDescent="0.2">
      <c r="A2001" s="5" t="str">
        <f t="shared" si="31"/>
        <v/>
      </c>
    </row>
    <row r="2002" spans="1:1" x14ac:dyDescent="0.2">
      <c r="A2002" s="5" t="str">
        <f t="shared" si="31"/>
        <v/>
      </c>
    </row>
    <row r="2003" spans="1:1" x14ac:dyDescent="0.2">
      <c r="A2003" s="5" t="str">
        <f t="shared" si="31"/>
        <v/>
      </c>
    </row>
    <row r="2004" spans="1:1" x14ac:dyDescent="0.2">
      <c r="A2004" s="5" t="str">
        <f t="shared" si="31"/>
        <v/>
      </c>
    </row>
    <row r="2005" spans="1:1" x14ac:dyDescent="0.2">
      <c r="A2005" s="5" t="str">
        <f t="shared" si="31"/>
        <v/>
      </c>
    </row>
    <row r="2006" spans="1:1" x14ac:dyDescent="0.2">
      <c r="A2006" s="5" t="str">
        <f t="shared" si="31"/>
        <v/>
      </c>
    </row>
    <row r="2007" spans="1:1" x14ac:dyDescent="0.2">
      <c r="A2007" s="5" t="str">
        <f t="shared" si="31"/>
        <v/>
      </c>
    </row>
    <row r="2008" spans="1:1" x14ac:dyDescent="0.2">
      <c r="A2008" s="5" t="str">
        <f t="shared" si="31"/>
        <v/>
      </c>
    </row>
    <row r="2009" spans="1:1" x14ac:dyDescent="0.2">
      <c r="A2009" s="5" t="str">
        <f t="shared" si="31"/>
        <v/>
      </c>
    </row>
    <row r="2010" spans="1:1" x14ac:dyDescent="0.2">
      <c r="A2010" s="5" t="str">
        <f t="shared" si="31"/>
        <v/>
      </c>
    </row>
    <row r="2011" spans="1:1" x14ac:dyDescent="0.2">
      <c r="A2011" s="5" t="str">
        <f t="shared" si="31"/>
        <v/>
      </c>
    </row>
    <row r="2012" spans="1:1" x14ac:dyDescent="0.2">
      <c r="A2012" s="5" t="str">
        <f t="shared" si="31"/>
        <v/>
      </c>
    </row>
    <row r="2013" spans="1:1" x14ac:dyDescent="0.2">
      <c r="A2013" s="5" t="str">
        <f t="shared" si="31"/>
        <v/>
      </c>
    </row>
    <row r="2014" spans="1:1" x14ac:dyDescent="0.2">
      <c r="A2014" s="5" t="str">
        <f t="shared" si="31"/>
        <v/>
      </c>
    </row>
    <row r="2015" spans="1:1" x14ac:dyDescent="0.2">
      <c r="A2015" s="5" t="str">
        <f t="shared" si="31"/>
        <v/>
      </c>
    </row>
    <row r="2016" spans="1:1" x14ac:dyDescent="0.2">
      <c r="A2016" s="5" t="str">
        <f t="shared" si="31"/>
        <v/>
      </c>
    </row>
    <row r="2017" spans="1:1" x14ac:dyDescent="0.2">
      <c r="A2017" s="5" t="str">
        <f t="shared" si="31"/>
        <v/>
      </c>
    </row>
    <row r="2018" spans="1:1" x14ac:dyDescent="0.2">
      <c r="A2018" s="5" t="str">
        <f t="shared" si="31"/>
        <v/>
      </c>
    </row>
    <row r="2019" spans="1:1" x14ac:dyDescent="0.2">
      <c r="A2019" s="5" t="str">
        <f t="shared" si="31"/>
        <v/>
      </c>
    </row>
    <row r="2020" spans="1:1" x14ac:dyDescent="0.2">
      <c r="A2020" s="5" t="str">
        <f t="shared" si="31"/>
        <v/>
      </c>
    </row>
    <row r="2021" spans="1:1" x14ac:dyDescent="0.2">
      <c r="A2021" s="5" t="str">
        <f t="shared" si="31"/>
        <v/>
      </c>
    </row>
    <row r="2022" spans="1:1" x14ac:dyDescent="0.2">
      <c r="A2022" s="5" t="str">
        <f t="shared" si="31"/>
        <v/>
      </c>
    </row>
    <row r="2023" spans="1:1" x14ac:dyDescent="0.2">
      <c r="A2023" s="5" t="str">
        <f t="shared" si="31"/>
        <v/>
      </c>
    </row>
    <row r="2024" spans="1:1" x14ac:dyDescent="0.2">
      <c r="A2024" s="5" t="str">
        <f t="shared" si="31"/>
        <v/>
      </c>
    </row>
    <row r="2025" spans="1:1" x14ac:dyDescent="0.2">
      <c r="A2025" s="5" t="str">
        <f t="shared" si="31"/>
        <v/>
      </c>
    </row>
    <row r="2026" spans="1:1" x14ac:dyDescent="0.2">
      <c r="A2026" s="5" t="str">
        <f t="shared" si="31"/>
        <v/>
      </c>
    </row>
    <row r="2027" spans="1:1" x14ac:dyDescent="0.2">
      <c r="A2027" s="5" t="str">
        <f t="shared" si="31"/>
        <v/>
      </c>
    </row>
    <row r="2028" spans="1:1" x14ac:dyDescent="0.2">
      <c r="A2028" s="5" t="str">
        <f t="shared" si="31"/>
        <v/>
      </c>
    </row>
    <row r="2029" spans="1:1" x14ac:dyDescent="0.2">
      <c r="A2029" s="5" t="str">
        <f t="shared" si="31"/>
        <v/>
      </c>
    </row>
    <row r="2030" spans="1:1" x14ac:dyDescent="0.2">
      <c r="A2030" s="5" t="str">
        <f t="shared" si="31"/>
        <v/>
      </c>
    </row>
    <row r="2031" spans="1:1" x14ac:dyDescent="0.2">
      <c r="A2031" s="5" t="str">
        <f t="shared" si="31"/>
        <v/>
      </c>
    </row>
    <row r="2032" spans="1:1" x14ac:dyDescent="0.2">
      <c r="A2032" s="5" t="str">
        <f t="shared" si="31"/>
        <v/>
      </c>
    </row>
    <row r="2033" spans="1:1" x14ac:dyDescent="0.2">
      <c r="A2033" s="5" t="str">
        <f t="shared" si="31"/>
        <v/>
      </c>
    </row>
    <row r="2034" spans="1:1" x14ac:dyDescent="0.2">
      <c r="A2034" s="5" t="str">
        <f t="shared" si="31"/>
        <v/>
      </c>
    </row>
    <row r="2035" spans="1:1" x14ac:dyDescent="0.2">
      <c r="A2035" s="5" t="str">
        <f t="shared" si="31"/>
        <v/>
      </c>
    </row>
    <row r="2036" spans="1:1" x14ac:dyDescent="0.2">
      <c r="A2036" s="5" t="str">
        <f t="shared" si="31"/>
        <v/>
      </c>
    </row>
    <row r="2037" spans="1:1" x14ac:dyDescent="0.2">
      <c r="A2037" s="5" t="str">
        <f t="shared" si="31"/>
        <v/>
      </c>
    </row>
    <row r="2038" spans="1:1" x14ac:dyDescent="0.2">
      <c r="A2038" s="5" t="str">
        <f t="shared" si="31"/>
        <v/>
      </c>
    </row>
    <row r="2039" spans="1:1" x14ac:dyDescent="0.2">
      <c r="A2039" s="5" t="str">
        <f t="shared" si="31"/>
        <v/>
      </c>
    </row>
    <row r="2040" spans="1:1" x14ac:dyDescent="0.2">
      <c r="A2040" s="5" t="str">
        <f t="shared" si="31"/>
        <v/>
      </c>
    </row>
    <row r="2041" spans="1:1" x14ac:dyDescent="0.2">
      <c r="A2041" s="5" t="str">
        <f t="shared" si="31"/>
        <v/>
      </c>
    </row>
    <row r="2042" spans="1:1" x14ac:dyDescent="0.2">
      <c r="A2042" s="5" t="str">
        <f t="shared" si="31"/>
        <v/>
      </c>
    </row>
    <row r="2043" spans="1:1" x14ac:dyDescent="0.2">
      <c r="A2043" s="5" t="str">
        <f t="shared" si="31"/>
        <v/>
      </c>
    </row>
    <row r="2044" spans="1:1" x14ac:dyDescent="0.2">
      <c r="A2044" s="5" t="str">
        <f t="shared" si="31"/>
        <v/>
      </c>
    </row>
    <row r="2045" spans="1:1" x14ac:dyDescent="0.2">
      <c r="A2045" s="5" t="str">
        <f t="shared" si="31"/>
        <v/>
      </c>
    </row>
    <row r="2046" spans="1:1" x14ac:dyDescent="0.2">
      <c r="A2046" s="5" t="str">
        <f t="shared" si="31"/>
        <v/>
      </c>
    </row>
    <row r="2047" spans="1:1" x14ac:dyDescent="0.2">
      <c r="A2047" s="5" t="str">
        <f t="shared" si="31"/>
        <v/>
      </c>
    </row>
    <row r="2048" spans="1:1" x14ac:dyDescent="0.2">
      <c r="A2048" s="5" t="str">
        <f t="shared" si="31"/>
        <v/>
      </c>
    </row>
    <row r="2049" spans="1:1" x14ac:dyDescent="0.2">
      <c r="A2049" s="5" t="str">
        <f t="shared" si="31"/>
        <v/>
      </c>
    </row>
    <row r="2050" spans="1:1" x14ac:dyDescent="0.2">
      <c r="A2050" s="5" t="str">
        <f t="shared" si="31"/>
        <v/>
      </c>
    </row>
    <row r="2051" spans="1:1" x14ac:dyDescent="0.2">
      <c r="A2051" s="5" t="str">
        <f t="shared" si="31"/>
        <v/>
      </c>
    </row>
    <row r="2052" spans="1:1" x14ac:dyDescent="0.2">
      <c r="A2052" s="5" t="str">
        <f t="shared" ref="A2052:A2115" si="32">IF(AND(B2051&lt;&gt;"",B2052=""),$A$2&amp;"---&gt;","")</f>
        <v/>
      </c>
    </row>
    <row r="2053" spans="1:1" x14ac:dyDescent="0.2">
      <c r="A2053" s="5" t="str">
        <f t="shared" si="32"/>
        <v/>
      </c>
    </row>
    <row r="2054" spans="1:1" x14ac:dyDescent="0.2">
      <c r="A2054" s="5" t="str">
        <f t="shared" si="32"/>
        <v/>
      </c>
    </row>
    <row r="2055" spans="1:1" x14ac:dyDescent="0.2">
      <c r="A2055" s="5" t="str">
        <f t="shared" si="32"/>
        <v/>
      </c>
    </row>
    <row r="2056" spans="1:1" x14ac:dyDescent="0.2">
      <c r="A2056" s="5" t="str">
        <f t="shared" si="32"/>
        <v/>
      </c>
    </row>
    <row r="2057" spans="1:1" x14ac:dyDescent="0.2">
      <c r="A2057" s="5" t="str">
        <f t="shared" si="32"/>
        <v/>
      </c>
    </row>
    <row r="2058" spans="1:1" x14ac:dyDescent="0.2">
      <c r="A2058" s="5" t="str">
        <f t="shared" si="32"/>
        <v/>
      </c>
    </row>
    <row r="2059" spans="1:1" x14ac:dyDescent="0.2">
      <c r="A2059" s="5" t="str">
        <f t="shared" si="32"/>
        <v/>
      </c>
    </row>
    <row r="2060" spans="1:1" x14ac:dyDescent="0.2">
      <c r="A2060" s="5" t="str">
        <f t="shared" si="32"/>
        <v/>
      </c>
    </row>
    <row r="2061" spans="1:1" x14ac:dyDescent="0.2">
      <c r="A2061" s="5" t="str">
        <f t="shared" si="32"/>
        <v/>
      </c>
    </row>
    <row r="2062" spans="1:1" x14ac:dyDescent="0.2">
      <c r="A2062" s="5" t="str">
        <f t="shared" si="32"/>
        <v/>
      </c>
    </row>
    <row r="2063" spans="1:1" x14ac:dyDescent="0.2">
      <c r="A2063" s="5" t="str">
        <f t="shared" si="32"/>
        <v/>
      </c>
    </row>
    <row r="2064" spans="1:1" x14ac:dyDescent="0.2">
      <c r="A2064" s="5" t="str">
        <f t="shared" si="32"/>
        <v/>
      </c>
    </row>
    <row r="2065" spans="1:1" x14ac:dyDescent="0.2">
      <c r="A2065" s="5" t="str">
        <f t="shared" si="32"/>
        <v/>
      </c>
    </row>
    <row r="2066" spans="1:1" x14ac:dyDescent="0.2">
      <c r="A2066" s="5" t="str">
        <f t="shared" si="32"/>
        <v/>
      </c>
    </row>
    <row r="2067" spans="1:1" x14ac:dyDescent="0.2">
      <c r="A2067" s="5" t="str">
        <f t="shared" si="32"/>
        <v/>
      </c>
    </row>
    <row r="2068" spans="1:1" x14ac:dyDescent="0.2">
      <c r="A2068" s="5" t="str">
        <f t="shared" si="32"/>
        <v/>
      </c>
    </row>
    <row r="2069" spans="1:1" x14ac:dyDescent="0.2">
      <c r="A2069" s="5" t="str">
        <f t="shared" si="32"/>
        <v/>
      </c>
    </row>
    <row r="2070" spans="1:1" x14ac:dyDescent="0.2">
      <c r="A2070" s="5" t="str">
        <f t="shared" si="32"/>
        <v/>
      </c>
    </row>
    <row r="2071" spans="1:1" x14ac:dyDescent="0.2">
      <c r="A2071" s="5" t="str">
        <f t="shared" si="32"/>
        <v/>
      </c>
    </row>
    <row r="2072" spans="1:1" x14ac:dyDescent="0.2">
      <c r="A2072" s="5" t="str">
        <f t="shared" si="32"/>
        <v/>
      </c>
    </row>
    <row r="2073" spans="1:1" x14ac:dyDescent="0.2">
      <c r="A2073" s="5" t="str">
        <f t="shared" si="32"/>
        <v/>
      </c>
    </row>
    <row r="2074" spans="1:1" x14ac:dyDescent="0.2">
      <c r="A2074" s="5" t="str">
        <f t="shared" si="32"/>
        <v/>
      </c>
    </row>
    <row r="2075" spans="1:1" x14ac:dyDescent="0.2">
      <c r="A2075" s="5" t="str">
        <f t="shared" si="32"/>
        <v/>
      </c>
    </row>
    <row r="2076" spans="1:1" x14ac:dyDescent="0.2">
      <c r="A2076" s="5" t="str">
        <f t="shared" si="32"/>
        <v/>
      </c>
    </row>
    <row r="2077" spans="1:1" x14ac:dyDescent="0.2">
      <c r="A2077" s="5" t="str">
        <f t="shared" si="32"/>
        <v/>
      </c>
    </row>
    <row r="2078" spans="1:1" x14ac:dyDescent="0.2">
      <c r="A2078" s="5" t="str">
        <f t="shared" si="32"/>
        <v/>
      </c>
    </row>
    <row r="2079" spans="1:1" x14ac:dyDescent="0.2">
      <c r="A2079" s="5" t="str">
        <f t="shared" si="32"/>
        <v/>
      </c>
    </row>
    <row r="2080" spans="1:1" x14ac:dyDescent="0.2">
      <c r="A2080" s="5" t="str">
        <f t="shared" si="32"/>
        <v/>
      </c>
    </row>
    <row r="2081" spans="1:1" x14ac:dyDescent="0.2">
      <c r="A2081" s="5" t="str">
        <f t="shared" si="32"/>
        <v/>
      </c>
    </row>
    <row r="2082" spans="1:1" x14ac:dyDescent="0.2">
      <c r="A2082" s="5" t="str">
        <f t="shared" si="32"/>
        <v/>
      </c>
    </row>
    <row r="2083" spans="1:1" x14ac:dyDescent="0.2">
      <c r="A2083" s="5" t="str">
        <f t="shared" si="32"/>
        <v/>
      </c>
    </row>
    <row r="2084" spans="1:1" x14ac:dyDescent="0.2">
      <c r="A2084" s="5" t="str">
        <f t="shared" si="32"/>
        <v/>
      </c>
    </row>
    <row r="2085" spans="1:1" x14ac:dyDescent="0.2">
      <c r="A2085" s="5" t="str">
        <f t="shared" si="32"/>
        <v/>
      </c>
    </row>
    <row r="2086" spans="1:1" x14ac:dyDescent="0.2">
      <c r="A2086" s="5" t="str">
        <f t="shared" si="32"/>
        <v/>
      </c>
    </row>
    <row r="2087" spans="1:1" x14ac:dyDescent="0.2">
      <c r="A2087" s="5" t="str">
        <f t="shared" si="32"/>
        <v/>
      </c>
    </row>
    <row r="2088" spans="1:1" x14ac:dyDescent="0.2">
      <c r="A2088" s="5" t="str">
        <f t="shared" si="32"/>
        <v/>
      </c>
    </row>
    <row r="2089" spans="1:1" x14ac:dyDescent="0.2">
      <c r="A2089" s="5" t="str">
        <f t="shared" si="32"/>
        <v/>
      </c>
    </row>
    <row r="2090" spans="1:1" x14ac:dyDescent="0.2">
      <c r="A2090" s="5" t="str">
        <f t="shared" si="32"/>
        <v/>
      </c>
    </row>
    <row r="2091" spans="1:1" x14ac:dyDescent="0.2">
      <c r="A2091" s="5" t="str">
        <f t="shared" si="32"/>
        <v/>
      </c>
    </row>
    <row r="2092" spans="1:1" x14ac:dyDescent="0.2">
      <c r="A2092" s="5" t="str">
        <f t="shared" si="32"/>
        <v/>
      </c>
    </row>
    <row r="2093" spans="1:1" x14ac:dyDescent="0.2">
      <c r="A2093" s="5" t="str">
        <f t="shared" si="32"/>
        <v/>
      </c>
    </row>
    <row r="2094" spans="1:1" x14ac:dyDescent="0.2">
      <c r="A2094" s="5" t="str">
        <f t="shared" si="32"/>
        <v/>
      </c>
    </row>
    <row r="2095" spans="1:1" x14ac:dyDescent="0.2">
      <c r="A2095" s="5" t="str">
        <f t="shared" si="32"/>
        <v/>
      </c>
    </row>
    <row r="2096" spans="1:1" x14ac:dyDescent="0.2">
      <c r="A2096" s="5" t="str">
        <f t="shared" si="32"/>
        <v/>
      </c>
    </row>
    <row r="2097" spans="1:1" x14ac:dyDescent="0.2">
      <c r="A2097" s="5" t="str">
        <f t="shared" si="32"/>
        <v/>
      </c>
    </row>
    <row r="2098" spans="1:1" x14ac:dyDescent="0.2">
      <c r="A2098" s="5" t="str">
        <f t="shared" si="32"/>
        <v/>
      </c>
    </row>
    <row r="2099" spans="1:1" x14ac:dyDescent="0.2">
      <c r="A2099" s="5" t="str">
        <f t="shared" si="32"/>
        <v/>
      </c>
    </row>
    <row r="2100" spans="1:1" x14ac:dyDescent="0.2">
      <c r="A2100" s="5" t="str">
        <f t="shared" si="32"/>
        <v/>
      </c>
    </row>
    <row r="2101" spans="1:1" x14ac:dyDescent="0.2">
      <c r="A2101" s="5" t="str">
        <f t="shared" si="32"/>
        <v/>
      </c>
    </row>
    <row r="2102" spans="1:1" x14ac:dyDescent="0.2">
      <c r="A2102" s="5" t="str">
        <f t="shared" si="32"/>
        <v/>
      </c>
    </row>
    <row r="2103" spans="1:1" x14ac:dyDescent="0.2">
      <c r="A2103" s="5" t="str">
        <f t="shared" si="32"/>
        <v/>
      </c>
    </row>
    <row r="2104" spans="1:1" x14ac:dyDescent="0.2">
      <c r="A2104" s="5" t="str">
        <f t="shared" si="32"/>
        <v/>
      </c>
    </row>
    <row r="2105" spans="1:1" x14ac:dyDescent="0.2">
      <c r="A2105" s="5" t="str">
        <f t="shared" si="32"/>
        <v/>
      </c>
    </row>
    <row r="2106" spans="1:1" x14ac:dyDescent="0.2">
      <c r="A2106" s="5" t="str">
        <f t="shared" si="32"/>
        <v/>
      </c>
    </row>
    <row r="2107" spans="1:1" x14ac:dyDescent="0.2">
      <c r="A2107" s="5" t="str">
        <f t="shared" si="32"/>
        <v/>
      </c>
    </row>
    <row r="2108" spans="1:1" x14ac:dyDescent="0.2">
      <c r="A2108" s="5" t="str">
        <f t="shared" si="32"/>
        <v/>
      </c>
    </row>
    <row r="2109" spans="1:1" x14ac:dyDescent="0.2">
      <c r="A2109" s="5" t="str">
        <f t="shared" si="32"/>
        <v/>
      </c>
    </row>
    <row r="2110" spans="1:1" x14ac:dyDescent="0.2">
      <c r="A2110" s="5" t="str">
        <f t="shared" si="32"/>
        <v/>
      </c>
    </row>
    <row r="2111" spans="1:1" x14ac:dyDescent="0.2">
      <c r="A2111" s="5" t="str">
        <f t="shared" si="32"/>
        <v/>
      </c>
    </row>
    <row r="2112" spans="1:1" x14ac:dyDescent="0.2">
      <c r="A2112" s="5" t="str">
        <f t="shared" si="32"/>
        <v/>
      </c>
    </row>
    <row r="2113" spans="1:1" x14ac:dyDescent="0.2">
      <c r="A2113" s="5" t="str">
        <f t="shared" si="32"/>
        <v/>
      </c>
    </row>
    <row r="2114" spans="1:1" x14ac:dyDescent="0.2">
      <c r="A2114" s="5" t="str">
        <f t="shared" si="32"/>
        <v/>
      </c>
    </row>
    <row r="2115" spans="1:1" x14ac:dyDescent="0.2">
      <c r="A2115" s="5" t="str">
        <f t="shared" si="32"/>
        <v/>
      </c>
    </row>
    <row r="2116" spans="1:1" x14ac:dyDescent="0.2">
      <c r="A2116" s="5" t="str">
        <f t="shared" ref="A2116:A2179" si="33">IF(AND(B2115&lt;&gt;"",B2116=""),$A$2&amp;"---&gt;","")</f>
        <v/>
      </c>
    </row>
    <row r="2117" spans="1:1" x14ac:dyDescent="0.2">
      <c r="A2117" s="5" t="str">
        <f t="shared" si="33"/>
        <v/>
      </c>
    </row>
    <row r="2118" spans="1:1" x14ac:dyDescent="0.2">
      <c r="A2118" s="5" t="str">
        <f t="shared" si="33"/>
        <v/>
      </c>
    </row>
    <row r="2119" spans="1:1" x14ac:dyDescent="0.2">
      <c r="A2119" s="5" t="str">
        <f t="shared" si="33"/>
        <v/>
      </c>
    </row>
    <row r="2120" spans="1:1" x14ac:dyDescent="0.2">
      <c r="A2120" s="5" t="str">
        <f t="shared" si="33"/>
        <v/>
      </c>
    </row>
    <row r="2121" spans="1:1" x14ac:dyDescent="0.2">
      <c r="A2121" s="5" t="str">
        <f t="shared" si="33"/>
        <v/>
      </c>
    </row>
    <row r="2122" spans="1:1" x14ac:dyDescent="0.2">
      <c r="A2122" s="5" t="str">
        <f t="shared" si="33"/>
        <v/>
      </c>
    </row>
    <row r="2123" spans="1:1" x14ac:dyDescent="0.2">
      <c r="A2123" s="5" t="str">
        <f t="shared" si="33"/>
        <v/>
      </c>
    </row>
    <row r="2124" spans="1:1" x14ac:dyDescent="0.2">
      <c r="A2124" s="5" t="str">
        <f t="shared" si="33"/>
        <v/>
      </c>
    </row>
    <row r="2125" spans="1:1" x14ac:dyDescent="0.2">
      <c r="A2125" s="5" t="str">
        <f t="shared" si="33"/>
        <v/>
      </c>
    </row>
    <row r="2126" spans="1:1" x14ac:dyDescent="0.2">
      <c r="A2126" s="5" t="str">
        <f t="shared" si="33"/>
        <v/>
      </c>
    </row>
    <row r="2127" spans="1:1" x14ac:dyDescent="0.2">
      <c r="A2127" s="5" t="str">
        <f t="shared" si="33"/>
        <v/>
      </c>
    </row>
    <row r="2128" spans="1:1" x14ac:dyDescent="0.2">
      <c r="A2128" s="5" t="str">
        <f t="shared" si="33"/>
        <v/>
      </c>
    </row>
    <row r="2129" spans="1:1" x14ac:dyDescent="0.2">
      <c r="A2129" s="5" t="str">
        <f t="shared" si="33"/>
        <v/>
      </c>
    </row>
    <row r="2130" spans="1:1" x14ac:dyDescent="0.2">
      <c r="A2130" s="5" t="str">
        <f t="shared" si="33"/>
        <v/>
      </c>
    </row>
    <row r="2131" spans="1:1" x14ac:dyDescent="0.2">
      <c r="A2131" s="5" t="str">
        <f t="shared" si="33"/>
        <v/>
      </c>
    </row>
    <row r="2132" spans="1:1" x14ac:dyDescent="0.2">
      <c r="A2132" s="5" t="str">
        <f t="shared" si="33"/>
        <v/>
      </c>
    </row>
    <row r="2133" spans="1:1" x14ac:dyDescent="0.2">
      <c r="A2133" s="5" t="str">
        <f t="shared" si="33"/>
        <v/>
      </c>
    </row>
    <row r="2134" spans="1:1" x14ac:dyDescent="0.2">
      <c r="A2134" s="5" t="str">
        <f t="shared" si="33"/>
        <v/>
      </c>
    </row>
    <row r="2135" spans="1:1" x14ac:dyDescent="0.2">
      <c r="A2135" s="5" t="str">
        <f t="shared" si="33"/>
        <v/>
      </c>
    </row>
    <row r="2136" spans="1:1" x14ac:dyDescent="0.2">
      <c r="A2136" s="5" t="str">
        <f t="shared" si="33"/>
        <v/>
      </c>
    </row>
    <row r="2137" spans="1:1" x14ac:dyDescent="0.2">
      <c r="A2137" s="5" t="str">
        <f t="shared" si="33"/>
        <v/>
      </c>
    </row>
    <row r="2138" spans="1:1" x14ac:dyDescent="0.2">
      <c r="A2138" s="5" t="str">
        <f t="shared" si="33"/>
        <v/>
      </c>
    </row>
    <row r="2139" spans="1:1" x14ac:dyDescent="0.2">
      <c r="A2139" s="5" t="str">
        <f t="shared" si="33"/>
        <v/>
      </c>
    </row>
    <row r="2140" spans="1:1" x14ac:dyDescent="0.2">
      <c r="A2140" s="5" t="str">
        <f t="shared" si="33"/>
        <v/>
      </c>
    </row>
    <row r="2141" spans="1:1" x14ac:dyDescent="0.2">
      <c r="A2141" s="5" t="str">
        <f t="shared" si="33"/>
        <v/>
      </c>
    </row>
    <row r="2142" spans="1:1" x14ac:dyDescent="0.2">
      <c r="A2142" s="5" t="str">
        <f t="shared" si="33"/>
        <v/>
      </c>
    </row>
    <row r="2143" spans="1:1" x14ac:dyDescent="0.2">
      <c r="A2143" s="5" t="str">
        <f t="shared" si="33"/>
        <v/>
      </c>
    </row>
    <row r="2144" spans="1:1" x14ac:dyDescent="0.2">
      <c r="A2144" s="5" t="str">
        <f t="shared" si="33"/>
        <v/>
      </c>
    </row>
    <row r="2145" spans="1:1" x14ac:dyDescent="0.2">
      <c r="A2145" s="5" t="str">
        <f t="shared" si="33"/>
        <v/>
      </c>
    </row>
    <row r="2146" spans="1:1" x14ac:dyDescent="0.2">
      <c r="A2146" s="5" t="str">
        <f t="shared" si="33"/>
        <v/>
      </c>
    </row>
    <row r="2147" spans="1:1" x14ac:dyDescent="0.2">
      <c r="A2147" s="5" t="str">
        <f t="shared" si="33"/>
        <v/>
      </c>
    </row>
    <row r="2148" spans="1:1" x14ac:dyDescent="0.2">
      <c r="A2148" s="5" t="str">
        <f t="shared" si="33"/>
        <v/>
      </c>
    </row>
    <row r="2149" spans="1:1" x14ac:dyDescent="0.2">
      <c r="A2149" s="5" t="str">
        <f t="shared" si="33"/>
        <v/>
      </c>
    </row>
    <row r="2150" spans="1:1" x14ac:dyDescent="0.2">
      <c r="A2150" s="5" t="str">
        <f t="shared" si="33"/>
        <v/>
      </c>
    </row>
    <row r="2151" spans="1:1" x14ac:dyDescent="0.2">
      <c r="A2151" s="5" t="str">
        <f t="shared" si="33"/>
        <v/>
      </c>
    </row>
    <row r="2152" spans="1:1" x14ac:dyDescent="0.2">
      <c r="A2152" s="5" t="str">
        <f t="shared" si="33"/>
        <v/>
      </c>
    </row>
    <row r="2153" spans="1:1" x14ac:dyDescent="0.2">
      <c r="A2153" s="5" t="str">
        <f t="shared" si="33"/>
        <v/>
      </c>
    </row>
    <row r="2154" spans="1:1" x14ac:dyDescent="0.2">
      <c r="A2154" s="5" t="str">
        <f t="shared" si="33"/>
        <v/>
      </c>
    </row>
    <row r="2155" spans="1:1" x14ac:dyDescent="0.2">
      <c r="A2155" s="5" t="str">
        <f t="shared" si="33"/>
        <v/>
      </c>
    </row>
    <row r="2156" spans="1:1" x14ac:dyDescent="0.2">
      <c r="A2156" s="5" t="str">
        <f t="shared" si="33"/>
        <v/>
      </c>
    </row>
    <row r="2157" spans="1:1" x14ac:dyDescent="0.2">
      <c r="A2157" s="5" t="str">
        <f t="shared" si="33"/>
        <v/>
      </c>
    </row>
    <row r="2158" spans="1:1" x14ac:dyDescent="0.2">
      <c r="A2158" s="5" t="str">
        <f t="shared" si="33"/>
        <v/>
      </c>
    </row>
    <row r="2159" spans="1:1" x14ac:dyDescent="0.2">
      <c r="A2159" s="5" t="str">
        <f t="shared" si="33"/>
        <v/>
      </c>
    </row>
    <row r="2160" spans="1:1" x14ac:dyDescent="0.2">
      <c r="A2160" s="5" t="str">
        <f t="shared" si="33"/>
        <v/>
      </c>
    </row>
    <row r="2161" spans="1:1" x14ac:dyDescent="0.2">
      <c r="A2161" s="5" t="str">
        <f t="shared" si="33"/>
        <v/>
      </c>
    </row>
    <row r="2162" spans="1:1" x14ac:dyDescent="0.2">
      <c r="A2162" s="5" t="str">
        <f t="shared" si="33"/>
        <v/>
      </c>
    </row>
    <row r="2163" spans="1:1" x14ac:dyDescent="0.2">
      <c r="A2163" s="5" t="str">
        <f t="shared" si="33"/>
        <v/>
      </c>
    </row>
    <row r="2164" spans="1:1" x14ac:dyDescent="0.2">
      <c r="A2164" s="5" t="str">
        <f t="shared" si="33"/>
        <v/>
      </c>
    </row>
    <row r="2165" spans="1:1" x14ac:dyDescent="0.2">
      <c r="A2165" s="5" t="str">
        <f t="shared" si="33"/>
        <v/>
      </c>
    </row>
    <row r="2166" spans="1:1" x14ac:dyDescent="0.2">
      <c r="A2166" s="5" t="str">
        <f t="shared" si="33"/>
        <v/>
      </c>
    </row>
    <row r="2167" spans="1:1" x14ac:dyDescent="0.2">
      <c r="A2167" s="5" t="str">
        <f t="shared" si="33"/>
        <v/>
      </c>
    </row>
    <row r="2168" spans="1:1" x14ac:dyDescent="0.2">
      <c r="A2168" s="5" t="str">
        <f t="shared" si="33"/>
        <v/>
      </c>
    </row>
    <row r="2169" spans="1:1" x14ac:dyDescent="0.2">
      <c r="A2169" s="5" t="str">
        <f t="shared" si="33"/>
        <v/>
      </c>
    </row>
    <row r="2170" spans="1:1" x14ac:dyDescent="0.2">
      <c r="A2170" s="5" t="str">
        <f t="shared" si="33"/>
        <v/>
      </c>
    </row>
    <row r="2171" spans="1:1" x14ac:dyDescent="0.2">
      <c r="A2171" s="5" t="str">
        <f t="shared" si="33"/>
        <v/>
      </c>
    </row>
    <row r="2172" spans="1:1" x14ac:dyDescent="0.2">
      <c r="A2172" s="5" t="str">
        <f t="shared" si="33"/>
        <v/>
      </c>
    </row>
    <row r="2173" spans="1:1" x14ac:dyDescent="0.2">
      <c r="A2173" s="5" t="str">
        <f t="shared" si="33"/>
        <v/>
      </c>
    </row>
    <row r="2174" spans="1:1" x14ac:dyDescent="0.2">
      <c r="A2174" s="5" t="str">
        <f t="shared" si="33"/>
        <v/>
      </c>
    </row>
    <row r="2175" spans="1:1" x14ac:dyDescent="0.2">
      <c r="A2175" s="5" t="str">
        <f t="shared" si="33"/>
        <v/>
      </c>
    </row>
    <row r="2176" spans="1:1" x14ac:dyDescent="0.2">
      <c r="A2176" s="5" t="str">
        <f t="shared" si="33"/>
        <v/>
      </c>
    </row>
    <row r="2177" spans="1:1" x14ac:dyDescent="0.2">
      <c r="A2177" s="5" t="str">
        <f t="shared" si="33"/>
        <v/>
      </c>
    </row>
    <row r="2178" spans="1:1" x14ac:dyDescent="0.2">
      <c r="A2178" s="5" t="str">
        <f t="shared" si="33"/>
        <v/>
      </c>
    </row>
    <row r="2179" spans="1:1" x14ac:dyDescent="0.2">
      <c r="A2179" s="5" t="str">
        <f t="shared" si="33"/>
        <v/>
      </c>
    </row>
    <row r="2180" spans="1:1" x14ac:dyDescent="0.2">
      <c r="A2180" s="5" t="str">
        <f t="shared" ref="A2180:A2243" si="34">IF(AND(B2179&lt;&gt;"",B2180=""),$A$2&amp;"---&gt;","")</f>
        <v/>
      </c>
    </row>
    <row r="2181" spans="1:1" x14ac:dyDescent="0.2">
      <c r="A2181" s="5" t="str">
        <f t="shared" si="34"/>
        <v/>
      </c>
    </row>
    <row r="2182" spans="1:1" x14ac:dyDescent="0.2">
      <c r="A2182" s="5" t="str">
        <f t="shared" si="34"/>
        <v/>
      </c>
    </row>
    <row r="2183" spans="1:1" x14ac:dyDescent="0.2">
      <c r="A2183" s="5" t="str">
        <f t="shared" si="34"/>
        <v/>
      </c>
    </row>
    <row r="2184" spans="1:1" x14ac:dyDescent="0.2">
      <c r="A2184" s="5" t="str">
        <f t="shared" si="34"/>
        <v/>
      </c>
    </row>
    <row r="2185" spans="1:1" x14ac:dyDescent="0.2">
      <c r="A2185" s="5" t="str">
        <f t="shared" si="34"/>
        <v/>
      </c>
    </row>
    <row r="2186" spans="1:1" x14ac:dyDescent="0.2">
      <c r="A2186" s="5" t="str">
        <f t="shared" si="34"/>
        <v/>
      </c>
    </row>
    <row r="2187" spans="1:1" x14ac:dyDescent="0.2">
      <c r="A2187" s="5" t="str">
        <f t="shared" si="34"/>
        <v/>
      </c>
    </row>
    <row r="2188" spans="1:1" x14ac:dyDescent="0.2">
      <c r="A2188" s="5" t="str">
        <f t="shared" si="34"/>
        <v/>
      </c>
    </row>
    <row r="2189" spans="1:1" x14ac:dyDescent="0.2">
      <c r="A2189" s="5" t="str">
        <f t="shared" si="34"/>
        <v/>
      </c>
    </row>
    <row r="2190" spans="1:1" x14ac:dyDescent="0.2">
      <c r="A2190" s="5" t="str">
        <f t="shared" si="34"/>
        <v/>
      </c>
    </row>
    <row r="2191" spans="1:1" x14ac:dyDescent="0.2">
      <c r="A2191" s="5" t="str">
        <f t="shared" si="34"/>
        <v/>
      </c>
    </row>
    <row r="2192" spans="1:1" x14ac:dyDescent="0.2">
      <c r="A2192" s="5" t="str">
        <f t="shared" si="34"/>
        <v/>
      </c>
    </row>
    <row r="2193" spans="1:1" x14ac:dyDescent="0.2">
      <c r="A2193" s="5" t="str">
        <f t="shared" si="34"/>
        <v/>
      </c>
    </row>
    <row r="2194" spans="1:1" x14ac:dyDescent="0.2">
      <c r="A2194" s="5" t="str">
        <f t="shared" si="34"/>
        <v/>
      </c>
    </row>
    <row r="2195" spans="1:1" x14ac:dyDescent="0.2">
      <c r="A2195" s="5" t="str">
        <f t="shared" si="34"/>
        <v/>
      </c>
    </row>
    <row r="2196" spans="1:1" x14ac:dyDescent="0.2">
      <c r="A2196" s="5" t="str">
        <f t="shared" si="34"/>
        <v/>
      </c>
    </row>
    <row r="2197" spans="1:1" x14ac:dyDescent="0.2">
      <c r="A2197" s="5" t="str">
        <f t="shared" si="34"/>
        <v/>
      </c>
    </row>
    <row r="2198" spans="1:1" x14ac:dyDescent="0.2">
      <c r="A2198" s="5" t="str">
        <f t="shared" si="34"/>
        <v/>
      </c>
    </row>
    <row r="2199" spans="1:1" x14ac:dyDescent="0.2">
      <c r="A2199" s="5" t="str">
        <f t="shared" si="34"/>
        <v/>
      </c>
    </row>
    <row r="2200" spans="1:1" x14ac:dyDescent="0.2">
      <c r="A2200" s="5" t="str">
        <f t="shared" si="34"/>
        <v/>
      </c>
    </row>
    <row r="2201" spans="1:1" x14ac:dyDescent="0.2">
      <c r="A2201" s="5" t="str">
        <f t="shared" si="34"/>
        <v/>
      </c>
    </row>
    <row r="2202" spans="1:1" x14ac:dyDescent="0.2">
      <c r="A2202" s="5" t="str">
        <f t="shared" si="34"/>
        <v/>
      </c>
    </row>
    <row r="2203" spans="1:1" x14ac:dyDescent="0.2">
      <c r="A2203" s="5" t="str">
        <f t="shared" si="34"/>
        <v/>
      </c>
    </row>
    <row r="2204" spans="1:1" x14ac:dyDescent="0.2">
      <c r="A2204" s="5" t="str">
        <f t="shared" si="34"/>
        <v/>
      </c>
    </row>
    <row r="2205" spans="1:1" x14ac:dyDescent="0.2">
      <c r="A2205" s="5" t="str">
        <f t="shared" si="34"/>
        <v/>
      </c>
    </row>
    <row r="2206" spans="1:1" x14ac:dyDescent="0.2">
      <c r="A2206" s="5" t="str">
        <f t="shared" si="34"/>
        <v/>
      </c>
    </row>
    <row r="2207" spans="1:1" x14ac:dyDescent="0.2">
      <c r="A2207" s="5" t="str">
        <f t="shared" si="34"/>
        <v/>
      </c>
    </row>
    <row r="2208" spans="1:1" x14ac:dyDescent="0.2">
      <c r="A2208" s="5" t="str">
        <f t="shared" si="34"/>
        <v/>
      </c>
    </row>
    <row r="2209" spans="1:1" x14ac:dyDescent="0.2">
      <c r="A2209" s="5" t="str">
        <f t="shared" si="34"/>
        <v/>
      </c>
    </row>
    <row r="2210" spans="1:1" x14ac:dyDescent="0.2">
      <c r="A2210" s="5" t="str">
        <f t="shared" si="34"/>
        <v/>
      </c>
    </row>
    <row r="2211" spans="1:1" x14ac:dyDescent="0.2">
      <c r="A2211" s="5" t="str">
        <f t="shared" si="34"/>
        <v/>
      </c>
    </row>
    <row r="2212" spans="1:1" x14ac:dyDescent="0.2">
      <c r="A2212" s="5" t="str">
        <f t="shared" si="34"/>
        <v/>
      </c>
    </row>
    <row r="2213" spans="1:1" x14ac:dyDescent="0.2">
      <c r="A2213" s="5" t="str">
        <f t="shared" si="34"/>
        <v/>
      </c>
    </row>
    <row r="2214" spans="1:1" x14ac:dyDescent="0.2">
      <c r="A2214" s="5" t="str">
        <f t="shared" si="34"/>
        <v/>
      </c>
    </row>
    <row r="2215" spans="1:1" x14ac:dyDescent="0.2">
      <c r="A2215" s="5" t="str">
        <f t="shared" si="34"/>
        <v/>
      </c>
    </row>
    <row r="2216" spans="1:1" x14ac:dyDescent="0.2">
      <c r="A2216" s="5" t="str">
        <f t="shared" si="34"/>
        <v/>
      </c>
    </row>
    <row r="2217" spans="1:1" x14ac:dyDescent="0.2">
      <c r="A2217" s="5" t="str">
        <f t="shared" si="34"/>
        <v/>
      </c>
    </row>
    <row r="2218" spans="1:1" x14ac:dyDescent="0.2">
      <c r="A2218" s="5" t="str">
        <f t="shared" si="34"/>
        <v/>
      </c>
    </row>
    <row r="2219" spans="1:1" x14ac:dyDescent="0.2">
      <c r="A2219" s="5" t="str">
        <f t="shared" si="34"/>
        <v/>
      </c>
    </row>
    <row r="2220" spans="1:1" x14ac:dyDescent="0.2">
      <c r="A2220" s="5" t="str">
        <f t="shared" si="34"/>
        <v/>
      </c>
    </row>
    <row r="2221" spans="1:1" x14ac:dyDescent="0.2">
      <c r="A2221" s="5" t="str">
        <f t="shared" si="34"/>
        <v/>
      </c>
    </row>
    <row r="2222" spans="1:1" x14ac:dyDescent="0.2">
      <c r="A2222" s="5" t="str">
        <f t="shared" si="34"/>
        <v/>
      </c>
    </row>
    <row r="2223" spans="1:1" x14ac:dyDescent="0.2">
      <c r="A2223" s="5" t="str">
        <f t="shared" si="34"/>
        <v/>
      </c>
    </row>
    <row r="2224" spans="1:1" x14ac:dyDescent="0.2">
      <c r="A2224" s="5" t="str">
        <f t="shared" si="34"/>
        <v/>
      </c>
    </row>
    <row r="2225" spans="1:1" x14ac:dyDescent="0.2">
      <c r="A2225" s="5" t="str">
        <f t="shared" si="34"/>
        <v/>
      </c>
    </row>
    <row r="2226" spans="1:1" x14ac:dyDescent="0.2">
      <c r="A2226" s="5" t="str">
        <f t="shared" si="34"/>
        <v/>
      </c>
    </row>
    <row r="2227" spans="1:1" x14ac:dyDescent="0.2">
      <c r="A2227" s="5" t="str">
        <f t="shared" si="34"/>
        <v/>
      </c>
    </row>
    <row r="2228" spans="1:1" x14ac:dyDescent="0.2">
      <c r="A2228" s="5" t="str">
        <f t="shared" si="34"/>
        <v/>
      </c>
    </row>
    <row r="2229" spans="1:1" x14ac:dyDescent="0.2">
      <c r="A2229" s="5" t="str">
        <f t="shared" si="34"/>
        <v/>
      </c>
    </row>
    <row r="2230" spans="1:1" x14ac:dyDescent="0.2">
      <c r="A2230" s="5" t="str">
        <f t="shared" si="34"/>
        <v/>
      </c>
    </row>
    <row r="2231" spans="1:1" x14ac:dyDescent="0.2">
      <c r="A2231" s="5" t="str">
        <f t="shared" si="34"/>
        <v/>
      </c>
    </row>
    <row r="2232" spans="1:1" x14ac:dyDescent="0.2">
      <c r="A2232" s="5" t="str">
        <f t="shared" si="34"/>
        <v/>
      </c>
    </row>
    <row r="2233" spans="1:1" x14ac:dyDescent="0.2">
      <c r="A2233" s="5" t="str">
        <f t="shared" si="34"/>
        <v/>
      </c>
    </row>
    <row r="2234" spans="1:1" x14ac:dyDescent="0.2">
      <c r="A2234" s="5" t="str">
        <f t="shared" si="34"/>
        <v/>
      </c>
    </row>
    <row r="2235" spans="1:1" x14ac:dyDescent="0.2">
      <c r="A2235" s="5" t="str">
        <f t="shared" si="34"/>
        <v/>
      </c>
    </row>
    <row r="2236" spans="1:1" x14ac:dyDescent="0.2">
      <c r="A2236" s="5" t="str">
        <f t="shared" si="34"/>
        <v/>
      </c>
    </row>
    <row r="2237" spans="1:1" x14ac:dyDescent="0.2">
      <c r="A2237" s="5" t="str">
        <f t="shared" si="34"/>
        <v/>
      </c>
    </row>
    <row r="2238" spans="1:1" x14ac:dyDescent="0.2">
      <c r="A2238" s="5" t="str">
        <f t="shared" si="34"/>
        <v/>
      </c>
    </row>
    <row r="2239" spans="1:1" x14ac:dyDescent="0.2">
      <c r="A2239" s="5" t="str">
        <f t="shared" si="34"/>
        <v/>
      </c>
    </row>
    <row r="2240" spans="1:1" x14ac:dyDescent="0.2">
      <c r="A2240" s="5" t="str">
        <f t="shared" si="34"/>
        <v/>
      </c>
    </row>
    <row r="2241" spans="1:1" x14ac:dyDescent="0.2">
      <c r="A2241" s="5" t="str">
        <f t="shared" si="34"/>
        <v/>
      </c>
    </row>
    <row r="2242" spans="1:1" x14ac:dyDescent="0.2">
      <c r="A2242" s="5" t="str">
        <f t="shared" si="34"/>
        <v/>
      </c>
    </row>
    <row r="2243" spans="1:1" x14ac:dyDescent="0.2">
      <c r="A2243" s="5" t="str">
        <f t="shared" si="34"/>
        <v/>
      </c>
    </row>
    <row r="2244" spans="1:1" x14ac:dyDescent="0.2">
      <c r="A2244" s="5" t="str">
        <f t="shared" ref="A2244:A2307" si="35">IF(AND(B2243&lt;&gt;"",B2244=""),$A$2&amp;"---&gt;","")</f>
        <v/>
      </c>
    </row>
    <row r="2245" spans="1:1" x14ac:dyDescent="0.2">
      <c r="A2245" s="5" t="str">
        <f t="shared" si="35"/>
        <v/>
      </c>
    </row>
    <row r="2246" spans="1:1" x14ac:dyDescent="0.2">
      <c r="A2246" s="5" t="str">
        <f t="shared" si="35"/>
        <v/>
      </c>
    </row>
    <row r="2247" spans="1:1" x14ac:dyDescent="0.2">
      <c r="A2247" s="5" t="str">
        <f t="shared" si="35"/>
        <v/>
      </c>
    </row>
    <row r="2248" spans="1:1" x14ac:dyDescent="0.2">
      <c r="A2248" s="5" t="str">
        <f t="shared" si="35"/>
        <v/>
      </c>
    </row>
    <row r="2249" spans="1:1" x14ac:dyDescent="0.2">
      <c r="A2249" s="5" t="str">
        <f t="shared" si="35"/>
        <v/>
      </c>
    </row>
    <row r="2250" spans="1:1" x14ac:dyDescent="0.2">
      <c r="A2250" s="5" t="str">
        <f t="shared" si="35"/>
        <v/>
      </c>
    </row>
    <row r="2251" spans="1:1" x14ac:dyDescent="0.2">
      <c r="A2251" s="5" t="str">
        <f t="shared" si="35"/>
        <v/>
      </c>
    </row>
    <row r="2252" spans="1:1" x14ac:dyDescent="0.2">
      <c r="A2252" s="5" t="str">
        <f t="shared" si="35"/>
        <v/>
      </c>
    </row>
    <row r="2253" spans="1:1" x14ac:dyDescent="0.2">
      <c r="A2253" s="5" t="str">
        <f t="shared" si="35"/>
        <v/>
      </c>
    </row>
    <row r="2254" spans="1:1" x14ac:dyDescent="0.2">
      <c r="A2254" s="5" t="str">
        <f t="shared" si="35"/>
        <v/>
      </c>
    </row>
    <row r="2255" spans="1:1" x14ac:dyDescent="0.2">
      <c r="A2255" s="5" t="str">
        <f t="shared" si="35"/>
        <v/>
      </c>
    </row>
    <row r="2256" spans="1:1" x14ac:dyDescent="0.2">
      <c r="A2256" s="5" t="str">
        <f t="shared" si="35"/>
        <v/>
      </c>
    </row>
    <row r="2257" spans="1:1" x14ac:dyDescent="0.2">
      <c r="A2257" s="5" t="str">
        <f t="shared" si="35"/>
        <v/>
      </c>
    </row>
    <row r="2258" spans="1:1" x14ac:dyDescent="0.2">
      <c r="A2258" s="5" t="str">
        <f t="shared" si="35"/>
        <v/>
      </c>
    </row>
    <row r="2259" spans="1:1" x14ac:dyDescent="0.2">
      <c r="A2259" s="5" t="str">
        <f t="shared" si="35"/>
        <v/>
      </c>
    </row>
    <row r="2260" spans="1:1" x14ac:dyDescent="0.2">
      <c r="A2260" s="5" t="str">
        <f t="shared" si="35"/>
        <v/>
      </c>
    </row>
    <row r="2261" spans="1:1" x14ac:dyDescent="0.2">
      <c r="A2261" s="5" t="str">
        <f t="shared" si="35"/>
        <v/>
      </c>
    </row>
    <row r="2262" spans="1:1" x14ac:dyDescent="0.2">
      <c r="A2262" s="5" t="str">
        <f t="shared" si="35"/>
        <v/>
      </c>
    </row>
    <row r="2263" spans="1:1" x14ac:dyDescent="0.2">
      <c r="A2263" s="5" t="str">
        <f t="shared" si="35"/>
        <v/>
      </c>
    </row>
    <row r="2264" spans="1:1" x14ac:dyDescent="0.2">
      <c r="A2264" s="5" t="str">
        <f t="shared" si="35"/>
        <v/>
      </c>
    </row>
    <row r="2265" spans="1:1" x14ac:dyDescent="0.2">
      <c r="A2265" s="5" t="str">
        <f t="shared" si="35"/>
        <v/>
      </c>
    </row>
    <row r="2266" spans="1:1" x14ac:dyDescent="0.2">
      <c r="A2266" s="5" t="str">
        <f t="shared" si="35"/>
        <v/>
      </c>
    </row>
    <row r="2267" spans="1:1" x14ac:dyDescent="0.2">
      <c r="A2267" s="5" t="str">
        <f t="shared" si="35"/>
        <v/>
      </c>
    </row>
    <row r="2268" spans="1:1" x14ac:dyDescent="0.2">
      <c r="A2268" s="5" t="str">
        <f t="shared" si="35"/>
        <v/>
      </c>
    </row>
    <row r="2269" spans="1:1" x14ac:dyDescent="0.2">
      <c r="A2269" s="5" t="str">
        <f t="shared" si="35"/>
        <v/>
      </c>
    </row>
    <row r="2270" spans="1:1" x14ac:dyDescent="0.2">
      <c r="A2270" s="5" t="str">
        <f t="shared" si="35"/>
        <v/>
      </c>
    </row>
    <row r="2271" spans="1:1" x14ac:dyDescent="0.2">
      <c r="A2271" s="5" t="str">
        <f t="shared" si="35"/>
        <v/>
      </c>
    </row>
    <row r="2272" spans="1:1" x14ac:dyDescent="0.2">
      <c r="A2272" s="5" t="str">
        <f t="shared" si="35"/>
        <v/>
      </c>
    </row>
    <row r="2273" spans="1:1" x14ac:dyDescent="0.2">
      <c r="A2273" s="5" t="str">
        <f t="shared" si="35"/>
        <v/>
      </c>
    </row>
    <row r="2274" spans="1:1" x14ac:dyDescent="0.2">
      <c r="A2274" s="5" t="str">
        <f t="shared" si="35"/>
        <v/>
      </c>
    </row>
    <row r="2275" spans="1:1" x14ac:dyDescent="0.2">
      <c r="A2275" s="5" t="str">
        <f t="shared" si="35"/>
        <v/>
      </c>
    </row>
    <row r="2276" spans="1:1" x14ac:dyDescent="0.2">
      <c r="A2276" s="5" t="str">
        <f t="shared" si="35"/>
        <v/>
      </c>
    </row>
    <row r="2277" spans="1:1" x14ac:dyDescent="0.2">
      <c r="A2277" s="5" t="str">
        <f t="shared" si="35"/>
        <v/>
      </c>
    </row>
    <row r="2278" spans="1:1" x14ac:dyDescent="0.2">
      <c r="A2278" s="5" t="str">
        <f t="shared" si="35"/>
        <v/>
      </c>
    </row>
    <row r="2279" spans="1:1" x14ac:dyDescent="0.2">
      <c r="A2279" s="5" t="str">
        <f t="shared" si="35"/>
        <v/>
      </c>
    </row>
    <row r="2280" spans="1:1" x14ac:dyDescent="0.2">
      <c r="A2280" s="5" t="str">
        <f t="shared" si="35"/>
        <v/>
      </c>
    </row>
    <row r="2281" spans="1:1" x14ac:dyDescent="0.2">
      <c r="A2281" s="5" t="str">
        <f t="shared" si="35"/>
        <v/>
      </c>
    </row>
    <row r="2282" spans="1:1" x14ac:dyDescent="0.2">
      <c r="A2282" s="5" t="str">
        <f t="shared" si="35"/>
        <v/>
      </c>
    </row>
    <row r="2283" spans="1:1" x14ac:dyDescent="0.2">
      <c r="A2283" s="5" t="str">
        <f t="shared" si="35"/>
        <v/>
      </c>
    </row>
    <row r="2284" spans="1:1" x14ac:dyDescent="0.2">
      <c r="A2284" s="5" t="str">
        <f t="shared" si="35"/>
        <v/>
      </c>
    </row>
    <row r="2285" spans="1:1" x14ac:dyDescent="0.2">
      <c r="A2285" s="5" t="str">
        <f t="shared" si="35"/>
        <v/>
      </c>
    </row>
    <row r="2286" spans="1:1" x14ac:dyDescent="0.2">
      <c r="A2286" s="5" t="str">
        <f t="shared" si="35"/>
        <v/>
      </c>
    </row>
    <row r="2287" spans="1:1" x14ac:dyDescent="0.2">
      <c r="A2287" s="5" t="str">
        <f t="shared" si="35"/>
        <v/>
      </c>
    </row>
    <row r="2288" spans="1:1" x14ac:dyDescent="0.2">
      <c r="A2288" s="5" t="str">
        <f t="shared" si="35"/>
        <v/>
      </c>
    </row>
    <row r="2289" spans="1:1" x14ac:dyDescent="0.2">
      <c r="A2289" s="5" t="str">
        <f t="shared" si="35"/>
        <v/>
      </c>
    </row>
    <row r="2290" spans="1:1" x14ac:dyDescent="0.2">
      <c r="A2290" s="5" t="str">
        <f t="shared" si="35"/>
        <v/>
      </c>
    </row>
    <row r="2291" spans="1:1" x14ac:dyDescent="0.2">
      <c r="A2291" s="5" t="str">
        <f t="shared" si="35"/>
        <v/>
      </c>
    </row>
    <row r="2292" spans="1:1" x14ac:dyDescent="0.2">
      <c r="A2292" s="5" t="str">
        <f t="shared" si="35"/>
        <v/>
      </c>
    </row>
    <row r="2293" spans="1:1" x14ac:dyDescent="0.2">
      <c r="A2293" s="5" t="str">
        <f t="shared" si="35"/>
        <v/>
      </c>
    </row>
    <row r="2294" spans="1:1" x14ac:dyDescent="0.2">
      <c r="A2294" s="5" t="str">
        <f t="shared" si="35"/>
        <v/>
      </c>
    </row>
    <row r="2295" spans="1:1" x14ac:dyDescent="0.2">
      <c r="A2295" s="5" t="str">
        <f t="shared" si="35"/>
        <v/>
      </c>
    </row>
    <row r="2296" spans="1:1" x14ac:dyDescent="0.2">
      <c r="A2296" s="5" t="str">
        <f t="shared" si="35"/>
        <v/>
      </c>
    </row>
    <row r="2297" spans="1:1" x14ac:dyDescent="0.2">
      <c r="A2297" s="5" t="str">
        <f t="shared" si="35"/>
        <v/>
      </c>
    </row>
    <row r="2298" spans="1:1" x14ac:dyDescent="0.2">
      <c r="A2298" s="5" t="str">
        <f t="shared" si="35"/>
        <v/>
      </c>
    </row>
    <row r="2299" spans="1:1" x14ac:dyDescent="0.2">
      <c r="A2299" s="5" t="str">
        <f t="shared" si="35"/>
        <v/>
      </c>
    </row>
    <row r="2300" spans="1:1" x14ac:dyDescent="0.2">
      <c r="A2300" s="5" t="str">
        <f t="shared" si="35"/>
        <v/>
      </c>
    </row>
    <row r="2301" spans="1:1" x14ac:dyDescent="0.2">
      <c r="A2301" s="5" t="str">
        <f t="shared" si="35"/>
        <v/>
      </c>
    </row>
    <row r="2302" spans="1:1" x14ac:dyDescent="0.2">
      <c r="A2302" s="5" t="str">
        <f t="shared" si="35"/>
        <v/>
      </c>
    </row>
    <row r="2303" spans="1:1" x14ac:dyDescent="0.2">
      <c r="A2303" s="5" t="str">
        <f t="shared" si="35"/>
        <v/>
      </c>
    </row>
    <row r="2304" spans="1:1" x14ac:dyDescent="0.2">
      <c r="A2304" s="5" t="str">
        <f t="shared" si="35"/>
        <v/>
      </c>
    </row>
    <row r="2305" spans="1:1" x14ac:dyDescent="0.2">
      <c r="A2305" s="5" t="str">
        <f t="shared" si="35"/>
        <v/>
      </c>
    </row>
    <row r="2306" spans="1:1" x14ac:dyDescent="0.2">
      <c r="A2306" s="5" t="str">
        <f t="shared" si="35"/>
        <v/>
      </c>
    </row>
    <row r="2307" spans="1:1" x14ac:dyDescent="0.2">
      <c r="A2307" s="5" t="str">
        <f t="shared" si="35"/>
        <v/>
      </c>
    </row>
    <row r="2308" spans="1:1" x14ac:dyDescent="0.2">
      <c r="A2308" s="5" t="str">
        <f t="shared" ref="A2308:A2371" si="36">IF(AND(B2307&lt;&gt;"",B2308=""),$A$2&amp;"---&gt;","")</f>
        <v/>
      </c>
    </row>
    <row r="2309" spans="1:1" x14ac:dyDescent="0.2">
      <c r="A2309" s="5" t="str">
        <f t="shared" si="36"/>
        <v/>
      </c>
    </row>
    <row r="2310" spans="1:1" x14ac:dyDescent="0.2">
      <c r="A2310" s="5" t="str">
        <f t="shared" si="36"/>
        <v/>
      </c>
    </row>
    <row r="2311" spans="1:1" x14ac:dyDescent="0.2">
      <c r="A2311" s="5" t="str">
        <f t="shared" si="36"/>
        <v/>
      </c>
    </row>
    <row r="2312" spans="1:1" x14ac:dyDescent="0.2">
      <c r="A2312" s="5" t="str">
        <f t="shared" si="36"/>
        <v/>
      </c>
    </row>
    <row r="2313" spans="1:1" x14ac:dyDescent="0.2">
      <c r="A2313" s="5" t="str">
        <f t="shared" si="36"/>
        <v/>
      </c>
    </row>
    <row r="2314" spans="1:1" x14ac:dyDescent="0.2">
      <c r="A2314" s="5" t="str">
        <f t="shared" si="36"/>
        <v/>
      </c>
    </row>
    <row r="2315" spans="1:1" x14ac:dyDescent="0.2">
      <c r="A2315" s="5" t="str">
        <f t="shared" si="36"/>
        <v/>
      </c>
    </row>
    <row r="2316" spans="1:1" x14ac:dyDescent="0.2">
      <c r="A2316" s="5" t="str">
        <f t="shared" si="36"/>
        <v/>
      </c>
    </row>
    <row r="2317" spans="1:1" x14ac:dyDescent="0.2">
      <c r="A2317" s="5" t="str">
        <f t="shared" si="36"/>
        <v/>
      </c>
    </row>
    <row r="2318" spans="1:1" x14ac:dyDescent="0.2">
      <c r="A2318" s="5" t="str">
        <f t="shared" si="36"/>
        <v/>
      </c>
    </row>
    <row r="2319" spans="1:1" x14ac:dyDescent="0.2">
      <c r="A2319" s="5" t="str">
        <f t="shared" si="36"/>
        <v/>
      </c>
    </row>
    <row r="2320" spans="1:1" x14ac:dyDescent="0.2">
      <c r="A2320" s="5" t="str">
        <f t="shared" si="36"/>
        <v/>
      </c>
    </row>
    <row r="2321" spans="1:1" x14ac:dyDescent="0.2">
      <c r="A2321" s="5" t="str">
        <f t="shared" si="36"/>
        <v/>
      </c>
    </row>
    <row r="2322" spans="1:1" x14ac:dyDescent="0.2">
      <c r="A2322" s="5" t="str">
        <f t="shared" si="36"/>
        <v/>
      </c>
    </row>
    <row r="2323" spans="1:1" x14ac:dyDescent="0.2">
      <c r="A2323" s="5" t="str">
        <f t="shared" si="36"/>
        <v/>
      </c>
    </row>
    <row r="2324" spans="1:1" x14ac:dyDescent="0.2">
      <c r="A2324" s="5" t="str">
        <f t="shared" si="36"/>
        <v/>
      </c>
    </row>
    <row r="2325" spans="1:1" x14ac:dyDescent="0.2">
      <c r="A2325" s="5" t="str">
        <f t="shared" si="36"/>
        <v/>
      </c>
    </row>
    <row r="2326" spans="1:1" x14ac:dyDescent="0.2">
      <c r="A2326" s="5" t="str">
        <f t="shared" si="36"/>
        <v/>
      </c>
    </row>
    <row r="2327" spans="1:1" x14ac:dyDescent="0.2">
      <c r="A2327" s="5" t="str">
        <f t="shared" si="36"/>
        <v/>
      </c>
    </row>
    <row r="2328" spans="1:1" x14ac:dyDescent="0.2">
      <c r="A2328" s="5" t="str">
        <f t="shared" si="36"/>
        <v/>
      </c>
    </row>
    <row r="2329" spans="1:1" x14ac:dyDescent="0.2">
      <c r="A2329" s="5" t="str">
        <f t="shared" si="36"/>
        <v/>
      </c>
    </row>
    <row r="2330" spans="1:1" x14ac:dyDescent="0.2">
      <c r="A2330" s="5" t="str">
        <f t="shared" si="36"/>
        <v/>
      </c>
    </row>
    <row r="2331" spans="1:1" x14ac:dyDescent="0.2">
      <c r="A2331" s="5" t="str">
        <f t="shared" si="36"/>
        <v/>
      </c>
    </row>
    <row r="2332" spans="1:1" x14ac:dyDescent="0.2">
      <c r="A2332" s="5" t="str">
        <f t="shared" si="36"/>
        <v/>
      </c>
    </row>
    <row r="2333" spans="1:1" x14ac:dyDescent="0.2">
      <c r="A2333" s="5" t="str">
        <f t="shared" si="36"/>
        <v/>
      </c>
    </row>
    <row r="2334" spans="1:1" x14ac:dyDescent="0.2">
      <c r="A2334" s="5" t="str">
        <f t="shared" si="36"/>
        <v/>
      </c>
    </row>
    <row r="2335" spans="1:1" x14ac:dyDescent="0.2">
      <c r="A2335" s="5" t="str">
        <f t="shared" si="36"/>
        <v/>
      </c>
    </row>
    <row r="2336" spans="1:1" x14ac:dyDescent="0.2">
      <c r="A2336" s="5" t="str">
        <f t="shared" si="36"/>
        <v/>
      </c>
    </row>
    <row r="2337" spans="1:1" x14ac:dyDescent="0.2">
      <c r="A2337" s="5" t="str">
        <f t="shared" si="36"/>
        <v/>
      </c>
    </row>
    <row r="2338" spans="1:1" x14ac:dyDescent="0.2">
      <c r="A2338" s="5" t="str">
        <f t="shared" si="36"/>
        <v/>
      </c>
    </row>
    <row r="2339" spans="1:1" x14ac:dyDescent="0.2">
      <c r="A2339" s="5" t="str">
        <f t="shared" si="36"/>
        <v/>
      </c>
    </row>
    <row r="2340" spans="1:1" x14ac:dyDescent="0.2">
      <c r="A2340" s="5" t="str">
        <f t="shared" si="36"/>
        <v/>
      </c>
    </row>
    <row r="2341" spans="1:1" x14ac:dyDescent="0.2">
      <c r="A2341" s="5" t="str">
        <f t="shared" si="36"/>
        <v/>
      </c>
    </row>
    <row r="2342" spans="1:1" x14ac:dyDescent="0.2">
      <c r="A2342" s="5" t="str">
        <f t="shared" si="36"/>
        <v/>
      </c>
    </row>
    <row r="2343" spans="1:1" x14ac:dyDescent="0.2">
      <c r="A2343" s="5" t="str">
        <f t="shared" si="36"/>
        <v/>
      </c>
    </row>
    <row r="2344" spans="1:1" x14ac:dyDescent="0.2">
      <c r="A2344" s="5" t="str">
        <f t="shared" si="36"/>
        <v/>
      </c>
    </row>
    <row r="2345" spans="1:1" x14ac:dyDescent="0.2">
      <c r="A2345" s="5" t="str">
        <f t="shared" si="36"/>
        <v/>
      </c>
    </row>
    <row r="2346" spans="1:1" x14ac:dyDescent="0.2">
      <c r="A2346" s="5" t="str">
        <f t="shared" si="36"/>
        <v/>
      </c>
    </row>
    <row r="2347" spans="1:1" x14ac:dyDescent="0.2">
      <c r="A2347" s="5" t="str">
        <f t="shared" si="36"/>
        <v/>
      </c>
    </row>
    <row r="2348" spans="1:1" x14ac:dyDescent="0.2">
      <c r="A2348" s="5" t="str">
        <f t="shared" si="36"/>
        <v/>
      </c>
    </row>
    <row r="2349" spans="1:1" x14ac:dyDescent="0.2">
      <c r="A2349" s="5" t="str">
        <f t="shared" si="36"/>
        <v/>
      </c>
    </row>
    <row r="2350" spans="1:1" x14ac:dyDescent="0.2">
      <c r="A2350" s="5" t="str">
        <f t="shared" si="36"/>
        <v/>
      </c>
    </row>
    <row r="2351" spans="1:1" x14ac:dyDescent="0.2">
      <c r="A2351" s="5" t="str">
        <f t="shared" si="36"/>
        <v/>
      </c>
    </row>
    <row r="2352" spans="1:1" x14ac:dyDescent="0.2">
      <c r="A2352" s="5" t="str">
        <f t="shared" si="36"/>
        <v/>
      </c>
    </row>
    <row r="2353" spans="1:1" x14ac:dyDescent="0.2">
      <c r="A2353" s="5" t="str">
        <f t="shared" si="36"/>
        <v/>
      </c>
    </row>
    <row r="2354" spans="1:1" x14ac:dyDescent="0.2">
      <c r="A2354" s="5" t="str">
        <f t="shared" si="36"/>
        <v/>
      </c>
    </row>
    <row r="2355" spans="1:1" x14ac:dyDescent="0.2">
      <c r="A2355" s="5" t="str">
        <f t="shared" si="36"/>
        <v/>
      </c>
    </row>
    <row r="2356" spans="1:1" x14ac:dyDescent="0.2">
      <c r="A2356" s="5" t="str">
        <f t="shared" si="36"/>
        <v/>
      </c>
    </row>
    <row r="2357" spans="1:1" x14ac:dyDescent="0.2">
      <c r="A2357" s="5" t="str">
        <f t="shared" si="36"/>
        <v/>
      </c>
    </row>
    <row r="2358" spans="1:1" x14ac:dyDescent="0.2">
      <c r="A2358" s="5" t="str">
        <f t="shared" si="36"/>
        <v/>
      </c>
    </row>
    <row r="2359" spans="1:1" x14ac:dyDescent="0.2">
      <c r="A2359" s="5" t="str">
        <f t="shared" si="36"/>
        <v/>
      </c>
    </row>
    <row r="2360" spans="1:1" x14ac:dyDescent="0.2">
      <c r="A2360" s="5" t="str">
        <f t="shared" si="36"/>
        <v/>
      </c>
    </row>
    <row r="2361" spans="1:1" x14ac:dyDescent="0.2">
      <c r="A2361" s="5" t="str">
        <f t="shared" si="36"/>
        <v/>
      </c>
    </row>
    <row r="2362" spans="1:1" x14ac:dyDescent="0.2">
      <c r="A2362" s="5" t="str">
        <f t="shared" si="36"/>
        <v/>
      </c>
    </row>
    <row r="2363" spans="1:1" x14ac:dyDescent="0.2">
      <c r="A2363" s="5" t="str">
        <f t="shared" si="36"/>
        <v/>
      </c>
    </row>
    <row r="2364" spans="1:1" x14ac:dyDescent="0.2">
      <c r="A2364" s="5" t="str">
        <f t="shared" si="36"/>
        <v/>
      </c>
    </row>
    <row r="2365" spans="1:1" x14ac:dyDescent="0.2">
      <c r="A2365" s="5" t="str">
        <f t="shared" si="36"/>
        <v/>
      </c>
    </row>
    <row r="2366" spans="1:1" x14ac:dyDescent="0.2">
      <c r="A2366" s="5" t="str">
        <f t="shared" si="36"/>
        <v/>
      </c>
    </row>
    <row r="2367" spans="1:1" x14ac:dyDescent="0.2">
      <c r="A2367" s="5" t="str">
        <f t="shared" si="36"/>
        <v/>
      </c>
    </row>
    <row r="2368" spans="1:1" x14ac:dyDescent="0.2">
      <c r="A2368" s="5" t="str">
        <f t="shared" si="36"/>
        <v/>
      </c>
    </row>
    <row r="2369" spans="1:1" x14ac:dyDescent="0.2">
      <c r="A2369" s="5" t="str">
        <f t="shared" si="36"/>
        <v/>
      </c>
    </row>
    <row r="2370" spans="1:1" x14ac:dyDescent="0.2">
      <c r="A2370" s="5" t="str">
        <f t="shared" si="36"/>
        <v/>
      </c>
    </row>
    <row r="2371" spans="1:1" x14ac:dyDescent="0.2">
      <c r="A2371" s="5" t="str">
        <f t="shared" si="36"/>
        <v/>
      </c>
    </row>
    <row r="2372" spans="1:1" x14ac:dyDescent="0.2">
      <c r="A2372" s="5" t="str">
        <f t="shared" ref="A2372:A2435" si="37">IF(AND(B2371&lt;&gt;"",B2372=""),$A$2&amp;"---&gt;","")</f>
        <v/>
      </c>
    </row>
    <row r="2373" spans="1:1" x14ac:dyDescent="0.2">
      <c r="A2373" s="5" t="str">
        <f t="shared" si="37"/>
        <v/>
      </c>
    </row>
    <row r="2374" spans="1:1" x14ac:dyDescent="0.2">
      <c r="A2374" s="5" t="str">
        <f t="shared" si="37"/>
        <v/>
      </c>
    </row>
    <row r="2375" spans="1:1" x14ac:dyDescent="0.2">
      <c r="A2375" s="5" t="str">
        <f t="shared" si="37"/>
        <v/>
      </c>
    </row>
    <row r="2376" spans="1:1" x14ac:dyDescent="0.2">
      <c r="A2376" s="5" t="str">
        <f t="shared" si="37"/>
        <v/>
      </c>
    </row>
    <row r="2377" spans="1:1" x14ac:dyDescent="0.2">
      <c r="A2377" s="5" t="str">
        <f t="shared" si="37"/>
        <v/>
      </c>
    </row>
    <row r="2378" spans="1:1" x14ac:dyDescent="0.2">
      <c r="A2378" s="5" t="str">
        <f t="shared" si="37"/>
        <v/>
      </c>
    </row>
    <row r="2379" spans="1:1" x14ac:dyDescent="0.2">
      <c r="A2379" s="5" t="str">
        <f t="shared" si="37"/>
        <v/>
      </c>
    </row>
    <row r="2380" spans="1:1" x14ac:dyDescent="0.2">
      <c r="A2380" s="5" t="str">
        <f t="shared" si="37"/>
        <v/>
      </c>
    </row>
    <row r="2381" spans="1:1" x14ac:dyDescent="0.2">
      <c r="A2381" s="5" t="str">
        <f t="shared" si="37"/>
        <v/>
      </c>
    </row>
    <row r="2382" spans="1:1" x14ac:dyDescent="0.2">
      <c r="A2382" s="5" t="str">
        <f t="shared" si="37"/>
        <v/>
      </c>
    </row>
    <row r="2383" spans="1:1" x14ac:dyDescent="0.2">
      <c r="A2383" s="5" t="str">
        <f t="shared" si="37"/>
        <v/>
      </c>
    </row>
    <row r="2384" spans="1:1" x14ac:dyDescent="0.2">
      <c r="A2384" s="5" t="str">
        <f t="shared" si="37"/>
        <v/>
      </c>
    </row>
    <row r="2385" spans="1:1" x14ac:dyDescent="0.2">
      <c r="A2385" s="5" t="str">
        <f t="shared" si="37"/>
        <v/>
      </c>
    </row>
    <row r="2386" spans="1:1" x14ac:dyDescent="0.2">
      <c r="A2386" s="5" t="str">
        <f t="shared" si="37"/>
        <v/>
      </c>
    </row>
    <row r="2387" spans="1:1" x14ac:dyDescent="0.2">
      <c r="A2387" s="5" t="str">
        <f t="shared" si="37"/>
        <v/>
      </c>
    </row>
    <row r="2388" spans="1:1" x14ac:dyDescent="0.2">
      <c r="A2388" s="5" t="str">
        <f t="shared" si="37"/>
        <v/>
      </c>
    </row>
    <row r="2389" spans="1:1" x14ac:dyDescent="0.2">
      <c r="A2389" s="5" t="str">
        <f t="shared" si="37"/>
        <v/>
      </c>
    </row>
    <row r="2390" spans="1:1" x14ac:dyDescent="0.2">
      <c r="A2390" s="5" t="str">
        <f t="shared" si="37"/>
        <v/>
      </c>
    </row>
    <row r="2391" spans="1:1" x14ac:dyDescent="0.2">
      <c r="A2391" s="5" t="str">
        <f t="shared" si="37"/>
        <v/>
      </c>
    </row>
    <row r="2392" spans="1:1" x14ac:dyDescent="0.2">
      <c r="A2392" s="5" t="str">
        <f t="shared" si="37"/>
        <v/>
      </c>
    </row>
    <row r="2393" spans="1:1" x14ac:dyDescent="0.2">
      <c r="A2393" s="5" t="str">
        <f t="shared" si="37"/>
        <v/>
      </c>
    </row>
    <row r="2394" spans="1:1" x14ac:dyDescent="0.2">
      <c r="A2394" s="5" t="str">
        <f t="shared" si="37"/>
        <v/>
      </c>
    </row>
    <row r="2395" spans="1:1" x14ac:dyDescent="0.2">
      <c r="A2395" s="5" t="str">
        <f t="shared" si="37"/>
        <v/>
      </c>
    </row>
    <row r="2396" spans="1:1" x14ac:dyDescent="0.2">
      <c r="A2396" s="5" t="str">
        <f t="shared" si="37"/>
        <v/>
      </c>
    </row>
    <row r="2397" spans="1:1" x14ac:dyDescent="0.2">
      <c r="A2397" s="5" t="str">
        <f t="shared" si="37"/>
        <v/>
      </c>
    </row>
    <row r="2398" spans="1:1" x14ac:dyDescent="0.2">
      <c r="A2398" s="5" t="str">
        <f t="shared" si="37"/>
        <v/>
      </c>
    </row>
    <row r="2399" spans="1:1" x14ac:dyDescent="0.2">
      <c r="A2399" s="5" t="str">
        <f t="shared" si="37"/>
        <v/>
      </c>
    </row>
    <row r="2400" spans="1:1" x14ac:dyDescent="0.2">
      <c r="A2400" s="5" t="str">
        <f t="shared" si="37"/>
        <v/>
      </c>
    </row>
    <row r="2401" spans="1:1" x14ac:dyDescent="0.2">
      <c r="A2401" s="5" t="str">
        <f t="shared" si="37"/>
        <v/>
      </c>
    </row>
    <row r="2402" spans="1:1" x14ac:dyDescent="0.2">
      <c r="A2402" s="5" t="str">
        <f t="shared" si="37"/>
        <v/>
      </c>
    </row>
    <row r="2403" spans="1:1" x14ac:dyDescent="0.2">
      <c r="A2403" s="5" t="str">
        <f t="shared" si="37"/>
        <v/>
      </c>
    </row>
    <row r="2404" spans="1:1" x14ac:dyDescent="0.2">
      <c r="A2404" s="5" t="str">
        <f t="shared" si="37"/>
        <v/>
      </c>
    </row>
    <row r="2405" spans="1:1" x14ac:dyDescent="0.2">
      <c r="A2405" s="5" t="str">
        <f t="shared" si="37"/>
        <v/>
      </c>
    </row>
    <row r="2406" spans="1:1" x14ac:dyDescent="0.2">
      <c r="A2406" s="5" t="str">
        <f t="shared" si="37"/>
        <v/>
      </c>
    </row>
    <row r="2407" spans="1:1" x14ac:dyDescent="0.2">
      <c r="A2407" s="5" t="str">
        <f t="shared" si="37"/>
        <v/>
      </c>
    </row>
    <row r="2408" spans="1:1" x14ac:dyDescent="0.2">
      <c r="A2408" s="5" t="str">
        <f t="shared" si="37"/>
        <v/>
      </c>
    </row>
    <row r="2409" spans="1:1" x14ac:dyDescent="0.2">
      <c r="A2409" s="5" t="str">
        <f t="shared" si="37"/>
        <v/>
      </c>
    </row>
    <row r="2410" spans="1:1" x14ac:dyDescent="0.2">
      <c r="A2410" s="5" t="str">
        <f t="shared" si="37"/>
        <v/>
      </c>
    </row>
    <row r="2411" spans="1:1" x14ac:dyDescent="0.2">
      <c r="A2411" s="5" t="str">
        <f t="shared" si="37"/>
        <v/>
      </c>
    </row>
    <row r="2412" spans="1:1" x14ac:dyDescent="0.2">
      <c r="A2412" s="5" t="str">
        <f t="shared" si="37"/>
        <v/>
      </c>
    </row>
    <row r="2413" spans="1:1" x14ac:dyDescent="0.2">
      <c r="A2413" s="5" t="str">
        <f t="shared" si="37"/>
        <v/>
      </c>
    </row>
    <row r="2414" spans="1:1" x14ac:dyDescent="0.2">
      <c r="A2414" s="5" t="str">
        <f t="shared" si="37"/>
        <v/>
      </c>
    </row>
    <row r="2415" spans="1:1" x14ac:dyDescent="0.2">
      <c r="A2415" s="5" t="str">
        <f t="shared" si="37"/>
        <v/>
      </c>
    </row>
    <row r="2416" spans="1:1" x14ac:dyDescent="0.2">
      <c r="A2416" s="5" t="str">
        <f t="shared" si="37"/>
        <v/>
      </c>
    </row>
    <row r="2417" spans="1:1" x14ac:dyDescent="0.2">
      <c r="A2417" s="5" t="str">
        <f t="shared" si="37"/>
        <v/>
      </c>
    </row>
    <row r="2418" spans="1:1" x14ac:dyDescent="0.2">
      <c r="A2418" s="5" t="str">
        <f t="shared" si="37"/>
        <v/>
      </c>
    </row>
    <row r="2419" spans="1:1" x14ac:dyDescent="0.2">
      <c r="A2419" s="5" t="str">
        <f t="shared" si="37"/>
        <v/>
      </c>
    </row>
    <row r="2420" spans="1:1" x14ac:dyDescent="0.2">
      <c r="A2420" s="5" t="str">
        <f t="shared" si="37"/>
        <v/>
      </c>
    </row>
    <row r="2421" spans="1:1" x14ac:dyDescent="0.2">
      <c r="A2421" s="5" t="str">
        <f t="shared" si="37"/>
        <v/>
      </c>
    </row>
    <row r="2422" spans="1:1" x14ac:dyDescent="0.2">
      <c r="A2422" s="5" t="str">
        <f t="shared" si="37"/>
        <v/>
      </c>
    </row>
    <row r="2423" spans="1:1" x14ac:dyDescent="0.2">
      <c r="A2423" s="5" t="str">
        <f t="shared" si="37"/>
        <v/>
      </c>
    </row>
    <row r="2424" spans="1:1" x14ac:dyDescent="0.2">
      <c r="A2424" s="5" t="str">
        <f t="shared" si="37"/>
        <v/>
      </c>
    </row>
    <row r="2425" spans="1:1" x14ac:dyDescent="0.2">
      <c r="A2425" s="5" t="str">
        <f t="shared" si="37"/>
        <v/>
      </c>
    </row>
    <row r="2426" spans="1:1" x14ac:dyDescent="0.2">
      <c r="A2426" s="5" t="str">
        <f t="shared" si="37"/>
        <v/>
      </c>
    </row>
    <row r="2427" spans="1:1" x14ac:dyDescent="0.2">
      <c r="A2427" s="5" t="str">
        <f t="shared" si="37"/>
        <v/>
      </c>
    </row>
    <row r="2428" spans="1:1" x14ac:dyDescent="0.2">
      <c r="A2428" s="5" t="str">
        <f t="shared" si="37"/>
        <v/>
      </c>
    </row>
    <row r="2429" spans="1:1" x14ac:dyDescent="0.2">
      <c r="A2429" s="5" t="str">
        <f t="shared" si="37"/>
        <v/>
      </c>
    </row>
    <row r="2430" spans="1:1" x14ac:dyDescent="0.2">
      <c r="A2430" s="5" t="str">
        <f t="shared" si="37"/>
        <v/>
      </c>
    </row>
    <row r="2431" spans="1:1" x14ac:dyDescent="0.2">
      <c r="A2431" s="5" t="str">
        <f t="shared" si="37"/>
        <v/>
      </c>
    </row>
    <row r="2432" spans="1:1" x14ac:dyDescent="0.2">
      <c r="A2432" s="5" t="str">
        <f t="shared" si="37"/>
        <v/>
      </c>
    </row>
    <row r="2433" spans="1:1" x14ac:dyDescent="0.2">
      <c r="A2433" s="5" t="str">
        <f t="shared" si="37"/>
        <v/>
      </c>
    </row>
    <row r="2434" spans="1:1" x14ac:dyDescent="0.2">
      <c r="A2434" s="5" t="str">
        <f t="shared" si="37"/>
        <v/>
      </c>
    </row>
    <row r="2435" spans="1:1" x14ac:dyDescent="0.2">
      <c r="A2435" s="5" t="str">
        <f t="shared" si="37"/>
        <v/>
      </c>
    </row>
    <row r="2436" spans="1:1" x14ac:dyDescent="0.2">
      <c r="A2436" s="5" t="str">
        <f t="shared" ref="A2436:A2499" si="38">IF(AND(B2435&lt;&gt;"",B2436=""),$A$2&amp;"---&gt;","")</f>
        <v/>
      </c>
    </row>
    <row r="2437" spans="1:1" x14ac:dyDescent="0.2">
      <c r="A2437" s="5" t="str">
        <f t="shared" si="38"/>
        <v/>
      </c>
    </row>
    <row r="2438" spans="1:1" x14ac:dyDescent="0.2">
      <c r="A2438" s="5" t="str">
        <f t="shared" si="38"/>
        <v/>
      </c>
    </row>
    <row r="2439" spans="1:1" x14ac:dyDescent="0.2">
      <c r="A2439" s="5" t="str">
        <f t="shared" si="38"/>
        <v/>
      </c>
    </row>
    <row r="2440" spans="1:1" x14ac:dyDescent="0.2">
      <c r="A2440" s="5" t="str">
        <f t="shared" si="38"/>
        <v/>
      </c>
    </row>
    <row r="2441" spans="1:1" x14ac:dyDescent="0.2">
      <c r="A2441" s="5" t="str">
        <f t="shared" si="38"/>
        <v/>
      </c>
    </row>
    <row r="2442" spans="1:1" x14ac:dyDescent="0.2">
      <c r="A2442" s="5" t="str">
        <f t="shared" si="38"/>
        <v/>
      </c>
    </row>
    <row r="2443" spans="1:1" x14ac:dyDescent="0.2">
      <c r="A2443" s="5" t="str">
        <f t="shared" si="38"/>
        <v/>
      </c>
    </row>
    <row r="2444" spans="1:1" x14ac:dyDescent="0.2">
      <c r="A2444" s="5" t="str">
        <f t="shared" si="38"/>
        <v/>
      </c>
    </row>
    <row r="2445" spans="1:1" x14ac:dyDescent="0.2">
      <c r="A2445" s="5" t="str">
        <f t="shared" si="38"/>
        <v/>
      </c>
    </row>
    <row r="2446" spans="1:1" x14ac:dyDescent="0.2">
      <c r="A2446" s="5" t="str">
        <f t="shared" si="38"/>
        <v/>
      </c>
    </row>
    <row r="2447" spans="1:1" x14ac:dyDescent="0.2">
      <c r="A2447" s="5" t="str">
        <f t="shared" si="38"/>
        <v/>
      </c>
    </row>
    <row r="2448" spans="1:1" x14ac:dyDescent="0.2">
      <c r="A2448" s="5" t="str">
        <f t="shared" si="38"/>
        <v/>
      </c>
    </row>
    <row r="2449" spans="1:1" x14ac:dyDescent="0.2">
      <c r="A2449" s="5" t="str">
        <f t="shared" si="38"/>
        <v/>
      </c>
    </row>
    <row r="2450" spans="1:1" x14ac:dyDescent="0.2">
      <c r="A2450" s="5" t="str">
        <f t="shared" si="38"/>
        <v/>
      </c>
    </row>
    <row r="2451" spans="1:1" x14ac:dyDescent="0.2">
      <c r="A2451" s="5" t="str">
        <f t="shared" si="38"/>
        <v/>
      </c>
    </row>
    <row r="2452" spans="1:1" x14ac:dyDescent="0.2">
      <c r="A2452" s="5" t="str">
        <f t="shared" si="38"/>
        <v/>
      </c>
    </row>
    <row r="2453" spans="1:1" x14ac:dyDescent="0.2">
      <c r="A2453" s="5" t="str">
        <f t="shared" si="38"/>
        <v/>
      </c>
    </row>
    <row r="2454" spans="1:1" x14ac:dyDescent="0.2">
      <c r="A2454" s="5" t="str">
        <f t="shared" si="38"/>
        <v/>
      </c>
    </row>
    <row r="2455" spans="1:1" x14ac:dyDescent="0.2">
      <c r="A2455" s="5" t="str">
        <f t="shared" si="38"/>
        <v/>
      </c>
    </row>
    <row r="2456" spans="1:1" x14ac:dyDescent="0.2">
      <c r="A2456" s="5" t="str">
        <f t="shared" si="38"/>
        <v/>
      </c>
    </row>
    <row r="2457" spans="1:1" x14ac:dyDescent="0.2">
      <c r="A2457" s="5" t="str">
        <f t="shared" si="38"/>
        <v/>
      </c>
    </row>
    <row r="2458" spans="1:1" x14ac:dyDescent="0.2">
      <c r="A2458" s="5" t="str">
        <f t="shared" si="38"/>
        <v/>
      </c>
    </row>
    <row r="2459" spans="1:1" x14ac:dyDescent="0.2">
      <c r="A2459" s="5" t="str">
        <f t="shared" si="38"/>
        <v/>
      </c>
    </row>
    <row r="2460" spans="1:1" x14ac:dyDescent="0.2">
      <c r="A2460" s="5" t="str">
        <f t="shared" si="38"/>
        <v/>
      </c>
    </row>
    <row r="2461" spans="1:1" x14ac:dyDescent="0.2">
      <c r="A2461" s="5" t="str">
        <f t="shared" si="38"/>
        <v/>
      </c>
    </row>
    <row r="2462" spans="1:1" x14ac:dyDescent="0.2">
      <c r="A2462" s="5" t="str">
        <f t="shared" si="38"/>
        <v/>
      </c>
    </row>
    <row r="2463" spans="1:1" x14ac:dyDescent="0.2">
      <c r="A2463" s="5" t="str">
        <f t="shared" si="38"/>
        <v/>
      </c>
    </row>
    <row r="2464" spans="1:1" x14ac:dyDescent="0.2">
      <c r="A2464" s="5" t="str">
        <f t="shared" si="38"/>
        <v/>
      </c>
    </row>
    <row r="2465" spans="1:1" x14ac:dyDescent="0.2">
      <c r="A2465" s="5" t="str">
        <f t="shared" si="38"/>
        <v/>
      </c>
    </row>
    <row r="2466" spans="1:1" x14ac:dyDescent="0.2">
      <c r="A2466" s="5" t="str">
        <f t="shared" si="38"/>
        <v/>
      </c>
    </row>
    <row r="2467" spans="1:1" x14ac:dyDescent="0.2">
      <c r="A2467" s="5" t="str">
        <f t="shared" si="38"/>
        <v/>
      </c>
    </row>
    <row r="2468" spans="1:1" x14ac:dyDescent="0.2">
      <c r="A2468" s="5" t="str">
        <f t="shared" si="38"/>
        <v/>
      </c>
    </row>
    <row r="2469" spans="1:1" x14ac:dyDescent="0.2">
      <c r="A2469" s="5" t="str">
        <f t="shared" si="38"/>
        <v/>
      </c>
    </row>
    <row r="2470" spans="1:1" x14ac:dyDescent="0.2">
      <c r="A2470" s="5" t="str">
        <f t="shared" si="38"/>
        <v/>
      </c>
    </row>
    <row r="2471" spans="1:1" x14ac:dyDescent="0.2">
      <c r="A2471" s="5" t="str">
        <f t="shared" si="38"/>
        <v/>
      </c>
    </row>
    <row r="2472" spans="1:1" x14ac:dyDescent="0.2">
      <c r="A2472" s="5" t="str">
        <f t="shared" si="38"/>
        <v/>
      </c>
    </row>
    <row r="2473" spans="1:1" x14ac:dyDescent="0.2">
      <c r="A2473" s="5" t="str">
        <f t="shared" si="38"/>
        <v/>
      </c>
    </row>
    <row r="2474" spans="1:1" x14ac:dyDescent="0.2">
      <c r="A2474" s="5" t="str">
        <f t="shared" si="38"/>
        <v/>
      </c>
    </row>
    <row r="2475" spans="1:1" x14ac:dyDescent="0.2">
      <c r="A2475" s="5" t="str">
        <f t="shared" si="38"/>
        <v/>
      </c>
    </row>
    <row r="2476" spans="1:1" x14ac:dyDescent="0.2">
      <c r="A2476" s="5" t="str">
        <f t="shared" si="38"/>
        <v/>
      </c>
    </row>
    <row r="2477" spans="1:1" x14ac:dyDescent="0.2">
      <c r="A2477" s="5" t="str">
        <f t="shared" si="38"/>
        <v/>
      </c>
    </row>
    <row r="2478" spans="1:1" x14ac:dyDescent="0.2">
      <c r="A2478" s="5" t="str">
        <f t="shared" si="38"/>
        <v/>
      </c>
    </row>
    <row r="2479" spans="1:1" x14ac:dyDescent="0.2">
      <c r="A2479" s="5" t="str">
        <f t="shared" si="38"/>
        <v/>
      </c>
    </row>
    <row r="2480" spans="1:1" x14ac:dyDescent="0.2">
      <c r="A2480" s="5" t="str">
        <f t="shared" si="38"/>
        <v/>
      </c>
    </row>
    <row r="2481" spans="1:1" x14ac:dyDescent="0.2">
      <c r="A2481" s="5" t="str">
        <f t="shared" si="38"/>
        <v/>
      </c>
    </row>
    <row r="2482" spans="1:1" x14ac:dyDescent="0.2">
      <c r="A2482" s="5" t="str">
        <f t="shared" si="38"/>
        <v/>
      </c>
    </row>
    <row r="2483" spans="1:1" x14ac:dyDescent="0.2">
      <c r="A2483" s="5" t="str">
        <f t="shared" si="38"/>
        <v/>
      </c>
    </row>
    <row r="2484" spans="1:1" x14ac:dyDescent="0.2">
      <c r="A2484" s="5" t="str">
        <f t="shared" si="38"/>
        <v/>
      </c>
    </row>
    <row r="2485" spans="1:1" x14ac:dyDescent="0.2">
      <c r="A2485" s="5" t="str">
        <f t="shared" si="38"/>
        <v/>
      </c>
    </row>
    <row r="2486" spans="1:1" x14ac:dyDescent="0.2">
      <c r="A2486" s="5" t="str">
        <f t="shared" si="38"/>
        <v/>
      </c>
    </row>
    <row r="2487" spans="1:1" x14ac:dyDescent="0.2">
      <c r="A2487" s="5" t="str">
        <f t="shared" si="38"/>
        <v/>
      </c>
    </row>
    <row r="2488" spans="1:1" x14ac:dyDescent="0.2">
      <c r="A2488" s="5" t="str">
        <f t="shared" si="38"/>
        <v/>
      </c>
    </row>
    <row r="2489" spans="1:1" x14ac:dyDescent="0.2">
      <c r="A2489" s="5" t="str">
        <f t="shared" si="38"/>
        <v/>
      </c>
    </row>
    <row r="2490" spans="1:1" x14ac:dyDescent="0.2">
      <c r="A2490" s="5" t="str">
        <f t="shared" si="38"/>
        <v/>
      </c>
    </row>
    <row r="2491" spans="1:1" x14ac:dyDescent="0.2">
      <c r="A2491" s="5" t="str">
        <f t="shared" si="38"/>
        <v/>
      </c>
    </row>
    <row r="2492" spans="1:1" x14ac:dyDescent="0.2">
      <c r="A2492" s="5" t="str">
        <f t="shared" si="38"/>
        <v/>
      </c>
    </row>
    <row r="2493" spans="1:1" x14ac:dyDescent="0.2">
      <c r="A2493" s="5" t="str">
        <f t="shared" si="38"/>
        <v/>
      </c>
    </row>
    <row r="2494" spans="1:1" x14ac:dyDescent="0.2">
      <c r="A2494" s="5" t="str">
        <f t="shared" si="38"/>
        <v/>
      </c>
    </row>
    <row r="2495" spans="1:1" x14ac:dyDescent="0.2">
      <c r="A2495" s="5" t="str">
        <f t="shared" si="38"/>
        <v/>
      </c>
    </row>
    <row r="2496" spans="1:1" x14ac:dyDescent="0.2">
      <c r="A2496" s="5" t="str">
        <f t="shared" si="38"/>
        <v/>
      </c>
    </row>
    <row r="2497" spans="1:1" x14ac:dyDescent="0.2">
      <c r="A2497" s="5" t="str">
        <f t="shared" si="38"/>
        <v/>
      </c>
    </row>
    <row r="2498" spans="1:1" x14ac:dyDescent="0.2">
      <c r="A2498" s="5" t="str">
        <f t="shared" si="38"/>
        <v/>
      </c>
    </row>
    <row r="2499" spans="1:1" x14ac:dyDescent="0.2">
      <c r="A2499" s="5" t="str">
        <f t="shared" si="38"/>
        <v/>
      </c>
    </row>
    <row r="2500" spans="1:1" x14ac:dyDescent="0.2">
      <c r="A2500" s="5" t="str">
        <f t="shared" ref="A2500:A2563" si="39">IF(AND(B2499&lt;&gt;"",B2500=""),$A$2&amp;"---&gt;","")</f>
        <v/>
      </c>
    </row>
    <row r="2501" spans="1:1" x14ac:dyDescent="0.2">
      <c r="A2501" s="5" t="str">
        <f t="shared" si="39"/>
        <v/>
      </c>
    </row>
    <row r="2502" spans="1:1" x14ac:dyDescent="0.2">
      <c r="A2502" s="5" t="str">
        <f t="shared" si="39"/>
        <v/>
      </c>
    </row>
    <row r="2503" spans="1:1" x14ac:dyDescent="0.2">
      <c r="A2503" s="5" t="str">
        <f t="shared" si="39"/>
        <v/>
      </c>
    </row>
    <row r="2504" spans="1:1" x14ac:dyDescent="0.2">
      <c r="A2504" s="5" t="str">
        <f t="shared" si="39"/>
        <v/>
      </c>
    </row>
    <row r="2505" spans="1:1" x14ac:dyDescent="0.2">
      <c r="A2505" s="5" t="str">
        <f t="shared" si="39"/>
        <v/>
      </c>
    </row>
    <row r="2506" spans="1:1" x14ac:dyDescent="0.2">
      <c r="A2506" s="5" t="str">
        <f t="shared" si="39"/>
        <v/>
      </c>
    </row>
    <row r="2507" spans="1:1" x14ac:dyDescent="0.2">
      <c r="A2507" s="5" t="str">
        <f t="shared" si="39"/>
        <v/>
      </c>
    </row>
    <row r="2508" spans="1:1" x14ac:dyDescent="0.2">
      <c r="A2508" s="5" t="str">
        <f t="shared" si="39"/>
        <v/>
      </c>
    </row>
    <row r="2509" spans="1:1" x14ac:dyDescent="0.2">
      <c r="A2509" s="5" t="str">
        <f t="shared" si="39"/>
        <v/>
      </c>
    </row>
    <row r="2510" spans="1:1" x14ac:dyDescent="0.2">
      <c r="A2510" s="5" t="str">
        <f t="shared" si="39"/>
        <v/>
      </c>
    </row>
    <row r="2511" spans="1:1" x14ac:dyDescent="0.2">
      <c r="A2511" s="5" t="str">
        <f t="shared" si="39"/>
        <v/>
      </c>
    </row>
    <row r="2512" spans="1:1" x14ac:dyDescent="0.2">
      <c r="A2512" s="5" t="str">
        <f t="shared" si="39"/>
        <v/>
      </c>
    </row>
    <row r="2513" spans="1:1" x14ac:dyDescent="0.2">
      <c r="A2513" s="5" t="str">
        <f t="shared" si="39"/>
        <v/>
      </c>
    </row>
    <row r="2514" spans="1:1" x14ac:dyDescent="0.2">
      <c r="A2514" s="5" t="str">
        <f t="shared" si="39"/>
        <v/>
      </c>
    </row>
    <row r="2515" spans="1:1" x14ac:dyDescent="0.2">
      <c r="A2515" s="5" t="str">
        <f t="shared" si="39"/>
        <v/>
      </c>
    </row>
    <row r="2516" spans="1:1" x14ac:dyDescent="0.2">
      <c r="A2516" s="5" t="str">
        <f t="shared" si="39"/>
        <v/>
      </c>
    </row>
    <row r="2517" spans="1:1" x14ac:dyDescent="0.2">
      <c r="A2517" s="5" t="str">
        <f t="shared" si="39"/>
        <v/>
      </c>
    </row>
    <row r="2518" spans="1:1" x14ac:dyDescent="0.2">
      <c r="A2518" s="5" t="str">
        <f t="shared" si="39"/>
        <v/>
      </c>
    </row>
    <row r="2519" spans="1:1" x14ac:dyDescent="0.2">
      <c r="A2519" s="5" t="str">
        <f t="shared" si="39"/>
        <v/>
      </c>
    </row>
    <row r="2520" spans="1:1" x14ac:dyDescent="0.2">
      <c r="A2520" s="5" t="str">
        <f t="shared" si="39"/>
        <v/>
      </c>
    </row>
    <row r="2521" spans="1:1" x14ac:dyDescent="0.2">
      <c r="A2521" s="5" t="str">
        <f t="shared" si="39"/>
        <v/>
      </c>
    </row>
    <row r="2522" spans="1:1" x14ac:dyDescent="0.2">
      <c r="A2522" s="5" t="str">
        <f t="shared" si="39"/>
        <v/>
      </c>
    </row>
    <row r="2523" spans="1:1" x14ac:dyDescent="0.2">
      <c r="A2523" s="5" t="str">
        <f t="shared" si="39"/>
        <v/>
      </c>
    </row>
    <row r="2524" spans="1:1" x14ac:dyDescent="0.2">
      <c r="A2524" s="5" t="str">
        <f t="shared" si="39"/>
        <v/>
      </c>
    </row>
    <row r="2525" spans="1:1" x14ac:dyDescent="0.2">
      <c r="A2525" s="5" t="str">
        <f t="shared" si="39"/>
        <v/>
      </c>
    </row>
    <row r="2526" spans="1:1" x14ac:dyDescent="0.2">
      <c r="A2526" s="5" t="str">
        <f t="shared" si="39"/>
        <v/>
      </c>
    </row>
    <row r="2527" spans="1:1" x14ac:dyDescent="0.2">
      <c r="A2527" s="5" t="str">
        <f t="shared" si="39"/>
        <v/>
      </c>
    </row>
    <row r="2528" spans="1:1" x14ac:dyDescent="0.2">
      <c r="A2528" s="5" t="str">
        <f t="shared" si="39"/>
        <v/>
      </c>
    </row>
    <row r="2529" spans="1:1" x14ac:dyDescent="0.2">
      <c r="A2529" s="5" t="str">
        <f t="shared" si="39"/>
        <v/>
      </c>
    </row>
    <row r="2530" spans="1:1" x14ac:dyDescent="0.2">
      <c r="A2530" s="5" t="str">
        <f t="shared" si="39"/>
        <v/>
      </c>
    </row>
    <row r="2531" spans="1:1" x14ac:dyDescent="0.2">
      <c r="A2531" s="5" t="str">
        <f t="shared" si="39"/>
        <v/>
      </c>
    </row>
    <row r="2532" spans="1:1" x14ac:dyDescent="0.2">
      <c r="A2532" s="5" t="str">
        <f t="shared" si="39"/>
        <v/>
      </c>
    </row>
    <row r="2533" spans="1:1" x14ac:dyDescent="0.2">
      <c r="A2533" s="5" t="str">
        <f t="shared" si="39"/>
        <v/>
      </c>
    </row>
    <row r="2534" spans="1:1" x14ac:dyDescent="0.2">
      <c r="A2534" s="5" t="str">
        <f t="shared" si="39"/>
        <v/>
      </c>
    </row>
    <row r="2535" spans="1:1" x14ac:dyDescent="0.2">
      <c r="A2535" s="5" t="str">
        <f t="shared" si="39"/>
        <v/>
      </c>
    </row>
    <row r="2536" spans="1:1" x14ac:dyDescent="0.2">
      <c r="A2536" s="5" t="str">
        <f t="shared" si="39"/>
        <v/>
      </c>
    </row>
    <row r="2537" spans="1:1" x14ac:dyDescent="0.2">
      <c r="A2537" s="5" t="str">
        <f t="shared" si="39"/>
        <v/>
      </c>
    </row>
    <row r="2538" spans="1:1" x14ac:dyDescent="0.2">
      <c r="A2538" s="5" t="str">
        <f t="shared" si="39"/>
        <v/>
      </c>
    </row>
    <row r="2539" spans="1:1" x14ac:dyDescent="0.2">
      <c r="A2539" s="5" t="str">
        <f t="shared" si="39"/>
        <v/>
      </c>
    </row>
    <row r="2540" spans="1:1" x14ac:dyDescent="0.2">
      <c r="A2540" s="5" t="str">
        <f t="shared" si="39"/>
        <v/>
      </c>
    </row>
    <row r="2541" spans="1:1" x14ac:dyDescent="0.2">
      <c r="A2541" s="5" t="str">
        <f t="shared" si="39"/>
        <v/>
      </c>
    </row>
    <row r="2542" spans="1:1" x14ac:dyDescent="0.2">
      <c r="A2542" s="5" t="str">
        <f t="shared" si="39"/>
        <v/>
      </c>
    </row>
    <row r="2543" spans="1:1" x14ac:dyDescent="0.2">
      <c r="A2543" s="5" t="str">
        <f t="shared" si="39"/>
        <v/>
      </c>
    </row>
    <row r="2544" spans="1:1" x14ac:dyDescent="0.2">
      <c r="A2544" s="5" t="str">
        <f t="shared" si="39"/>
        <v/>
      </c>
    </row>
    <row r="2545" spans="1:1" x14ac:dyDescent="0.2">
      <c r="A2545" s="5" t="str">
        <f t="shared" si="39"/>
        <v/>
      </c>
    </row>
    <row r="2546" spans="1:1" x14ac:dyDescent="0.2">
      <c r="A2546" s="5" t="str">
        <f t="shared" si="39"/>
        <v/>
      </c>
    </row>
    <row r="2547" spans="1:1" x14ac:dyDescent="0.2">
      <c r="A2547" s="5" t="str">
        <f t="shared" si="39"/>
        <v/>
      </c>
    </row>
    <row r="2548" spans="1:1" x14ac:dyDescent="0.2">
      <c r="A2548" s="5" t="str">
        <f t="shared" si="39"/>
        <v/>
      </c>
    </row>
    <row r="2549" spans="1:1" x14ac:dyDescent="0.2">
      <c r="A2549" s="5" t="str">
        <f t="shared" si="39"/>
        <v/>
      </c>
    </row>
    <row r="2550" spans="1:1" x14ac:dyDescent="0.2">
      <c r="A2550" s="5" t="str">
        <f t="shared" si="39"/>
        <v/>
      </c>
    </row>
    <row r="2551" spans="1:1" x14ac:dyDescent="0.2">
      <c r="A2551" s="5" t="str">
        <f t="shared" si="39"/>
        <v/>
      </c>
    </row>
    <row r="2552" spans="1:1" x14ac:dyDescent="0.2">
      <c r="A2552" s="5" t="str">
        <f t="shared" si="39"/>
        <v/>
      </c>
    </row>
    <row r="2553" spans="1:1" x14ac:dyDescent="0.2">
      <c r="A2553" s="5" t="str">
        <f t="shared" si="39"/>
        <v/>
      </c>
    </row>
    <row r="2554" spans="1:1" x14ac:dyDescent="0.2">
      <c r="A2554" s="5" t="str">
        <f t="shared" si="39"/>
        <v/>
      </c>
    </row>
    <row r="2555" spans="1:1" x14ac:dyDescent="0.2">
      <c r="A2555" s="5" t="str">
        <f t="shared" si="39"/>
        <v/>
      </c>
    </row>
    <row r="2556" spans="1:1" x14ac:dyDescent="0.2">
      <c r="A2556" s="5" t="str">
        <f t="shared" si="39"/>
        <v/>
      </c>
    </row>
    <row r="2557" spans="1:1" x14ac:dyDescent="0.2">
      <c r="A2557" s="5" t="str">
        <f t="shared" si="39"/>
        <v/>
      </c>
    </row>
    <row r="2558" spans="1:1" x14ac:dyDescent="0.2">
      <c r="A2558" s="5" t="str">
        <f t="shared" si="39"/>
        <v/>
      </c>
    </row>
    <row r="2559" spans="1:1" x14ac:dyDescent="0.2">
      <c r="A2559" s="5" t="str">
        <f t="shared" si="39"/>
        <v/>
      </c>
    </row>
    <row r="2560" spans="1:1" x14ac:dyDescent="0.2">
      <c r="A2560" s="5" t="str">
        <f t="shared" si="39"/>
        <v/>
      </c>
    </row>
    <row r="2561" spans="1:1" x14ac:dyDescent="0.2">
      <c r="A2561" s="5" t="str">
        <f t="shared" si="39"/>
        <v/>
      </c>
    </row>
    <row r="2562" spans="1:1" x14ac:dyDescent="0.2">
      <c r="A2562" s="5" t="str">
        <f t="shared" si="39"/>
        <v/>
      </c>
    </row>
    <row r="2563" spans="1:1" x14ac:dyDescent="0.2">
      <c r="A2563" s="5" t="str">
        <f t="shared" si="39"/>
        <v/>
      </c>
    </row>
    <row r="2564" spans="1:1" x14ac:dyDescent="0.2">
      <c r="A2564" s="5" t="str">
        <f t="shared" ref="A2564:A2627" si="40">IF(AND(B2563&lt;&gt;"",B2564=""),$A$2&amp;"---&gt;","")</f>
        <v/>
      </c>
    </row>
    <row r="2565" spans="1:1" x14ac:dyDescent="0.2">
      <c r="A2565" s="5" t="str">
        <f t="shared" si="40"/>
        <v/>
      </c>
    </row>
    <row r="2566" spans="1:1" x14ac:dyDescent="0.2">
      <c r="A2566" s="5" t="str">
        <f t="shared" si="40"/>
        <v/>
      </c>
    </row>
    <row r="2567" spans="1:1" x14ac:dyDescent="0.2">
      <c r="A2567" s="5" t="str">
        <f t="shared" si="40"/>
        <v/>
      </c>
    </row>
    <row r="2568" spans="1:1" x14ac:dyDescent="0.2">
      <c r="A2568" s="5" t="str">
        <f t="shared" si="40"/>
        <v/>
      </c>
    </row>
    <row r="2569" spans="1:1" x14ac:dyDescent="0.2">
      <c r="A2569" s="5" t="str">
        <f t="shared" si="40"/>
        <v/>
      </c>
    </row>
    <row r="2570" spans="1:1" x14ac:dyDescent="0.2">
      <c r="A2570" s="5" t="str">
        <f t="shared" si="40"/>
        <v/>
      </c>
    </row>
    <row r="2571" spans="1:1" x14ac:dyDescent="0.2">
      <c r="A2571" s="5" t="str">
        <f t="shared" si="40"/>
        <v/>
      </c>
    </row>
    <row r="2572" spans="1:1" x14ac:dyDescent="0.2">
      <c r="A2572" s="5" t="str">
        <f t="shared" si="40"/>
        <v/>
      </c>
    </row>
    <row r="2573" spans="1:1" x14ac:dyDescent="0.2">
      <c r="A2573" s="5" t="str">
        <f t="shared" si="40"/>
        <v/>
      </c>
    </row>
    <row r="2574" spans="1:1" x14ac:dyDescent="0.2">
      <c r="A2574" s="5" t="str">
        <f t="shared" si="40"/>
        <v/>
      </c>
    </row>
    <row r="2575" spans="1:1" x14ac:dyDescent="0.2">
      <c r="A2575" s="5" t="str">
        <f t="shared" si="40"/>
        <v/>
      </c>
    </row>
    <row r="2576" spans="1:1" x14ac:dyDescent="0.2">
      <c r="A2576" s="5" t="str">
        <f t="shared" si="40"/>
        <v/>
      </c>
    </row>
    <row r="2577" spans="1:1" x14ac:dyDescent="0.2">
      <c r="A2577" s="5" t="str">
        <f t="shared" si="40"/>
        <v/>
      </c>
    </row>
    <row r="2578" spans="1:1" x14ac:dyDescent="0.2">
      <c r="A2578" s="5" t="str">
        <f t="shared" si="40"/>
        <v/>
      </c>
    </row>
    <row r="2579" spans="1:1" x14ac:dyDescent="0.2">
      <c r="A2579" s="5" t="str">
        <f t="shared" si="40"/>
        <v/>
      </c>
    </row>
    <row r="2580" spans="1:1" x14ac:dyDescent="0.2">
      <c r="A2580" s="5" t="str">
        <f t="shared" si="40"/>
        <v/>
      </c>
    </row>
    <row r="2581" spans="1:1" x14ac:dyDescent="0.2">
      <c r="A2581" s="5" t="str">
        <f t="shared" si="40"/>
        <v/>
      </c>
    </row>
    <row r="2582" spans="1:1" x14ac:dyDescent="0.2">
      <c r="A2582" s="5" t="str">
        <f t="shared" si="40"/>
        <v/>
      </c>
    </row>
    <row r="2583" spans="1:1" x14ac:dyDescent="0.2">
      <c r="A2583" s="5" t="str">
        <f t="shared" si="40"/>
        <v/>
      </c>
    </row>
    <row r="2584" spans="1:1" x14ac:dyDescent="0.2">
      <c r="A2584" s="5" t="str">
        <f t="shared" si="40"/>
        <v/>
      </c>
    </row>
    <row r="2585" spans="1:1" x14ac:dyDescent="0.2">
      <c r="A2585" s="5" t="str">
        <f t="shared" si="40"/>
        <v/>
      </c>
    </row>
    <row r="2586" spans="1:1" x14ac:dyDescent="0.2">
      <c r="A2586" s="5" t="str">
        <f t="shared" si="40"/>
        <v/>
      </c>
    </row>
    <row r="2587" spans="1:1" x14ac:dyDescent="0.2">
      <c r="A2587" s="5" t="str">
        <f t="shared" si="40"/>
        <v/>
      </c>
    </row>
    <row r="2588" spans="1:1" x14ac:dyDescent="0.2">
      <c r="A2588" s="5" t="str">
        <f t="shared" si="40"/>
        <v/>
      </c>
    </row>
    <row r="2589" spans="1:1" x14ac:dyDescent="0.2">
      <c r="A2589" s="5" t="str">
        <f t="shared" si="40"/>
        <v/>
      </c>
    </row>
    <row r="2590" spans="1:1" x14ac:dyDescent="0.2">
      <c r="A2590" s="5" t="str">
        <f t="shared" si="40"/>
        <v/>
      </c>
    </row>
    <row r="2591" spans="1:1" x14ac:dyDescent="0.2">
      <c r="A2591" s="5" t="str">
        <f t="shared" si="40"/>
        <v/>
      </c>
    </row>
    <row r="2592" spans="1:1" x14ac:dyDescent="0.2">
      <c r="A2592" s="5" t="str">
        <f t="shared" si="40"/>
        <v/>
      </c>
    </row>
    <row r="2593" spans="1:1" x14ac:dyDescent="0.2">
      <c r="A2593" s="5" t="str">
        <f t="shared" si="40"/>
        <v/>
      </c>
    </row>
    <row r="2594" spans="1:1" x14ac:dyDescent="0.2">
      <c r="A2594" s="5" t="str">
        <f t="shared" si="40"/>
        <v/>
      </c>
    </row>
    <row r="2595" spans="1:1" x14ac:dyDescent="0.2">
      <c r="A2595" s="5" t="str">
        <f t="shared" si="40"/>
        <v/>
      </c>
    </row>
    <row r="2596" spans="1:1" x14ac:dyDescent="0.2">
      <c r="A2596" s="5" t="str">
        <f t="shared" si="40"/>
        <v/>
      </c>
    </row>
    <row r="2597" spans="1:1" x14ac:dyDescent="0.2">
      <c r="A2597" s="5" t="str">
        <f t="shared" si="40"/>
        <v/>
      </c>
    </row>
    <row r="2598" spans="1:1" x14ac:dyDescent="0.2">
      <c r="A2598" s="5" t="str">
        <f t="shared" si="40"/>
        <v/>
      </c>
    </row>
    <row r="2599" spans="1:1" x14ac:dyDescent="0.2">
      <c r="A2599" s="5" t="str">
        <f t="shared" si="40"/>
        <v/>
      </c>
    </row>
    <row r="2600" spans="1:1" x14ac:dyDescent="0.2">
      <c r="A2600" s="5" t="str">
        <f t="shared" si="40"/>
        <v/>
      </c>
    </row>
    <row r="2601" spans="1:1" x14ac:dyDescent="0.2">
      <c r="A2601" s="5" t="str">
        <f t="shared" si="40"/>
        <v/>
      </c>
    </row>
    <row r="2602" spans="1:1" x14ac:dyDescent="0.2">
      <c r="A2602" s="5" t="str">
        <f t="shared" si="40"/>
        <v/>
      </c>
    </row>
    <row r="2603" spans="1:1" x14ac:dyDescent="0.2">
      <c r="A2603" s="5" t="str">
        <f t="shared" si="40"/>
        <v/>
      </c>
    </row>
    <row r="2604" spans="1:1" x14ac:dyDescent="0.2">
      <c r="A2604" s="5" t="str">
        <f t="shared" si="40"/>
        <v/>
      </c>
    </row>
    <row r="2605" spans="1:1" x14ac:dyDescent="0.2">
      <c r="A2605" s="5" t="str">
        <f t="shared" si="40"/>
        <v/>
      </c>
    </row>
    <row r="2606" spans="1:1" x14ac:dyDescent="0.2">
      <c r="A2606" s="5" t="str">
        <f t="shared" si="40"/>
        <v/>
      </c>
    </row>
    <row r="2607" spans="1:1" x14ac:dyDescent="0.2">
      <c r="A2607" s="5" t="str">
        <f t="shared" si="40"/>
        <v/>
      </c>
    </row>
    <row r="2608" spans="1:1" x14ac:dyDescent="0.2">
      <c r="A2608" s="5" t="str">
        <f t="shared" si="40"/>
        <v/>
      </c>
    </row>
    <row r="2609" spans="1:1" x14ac:dyDescent="0.2">
      <c r="A2609" s="5" t="str">
        <f t="shared" si="40"/>
        <v/>
      </c>
    </row>
    <row r="2610" spans="1:1" x14ac:dyDescent="0.2">
      <c r="A2610" s="5" t="str">
        <f t="shared" si="40"/>
        <v/>
      </c>
    </row>
    <row r="2611" spans="1:1" x14ac:dyDescent="0.2">
      <c r="A2611" s="5" t="str">
        <f t="shared" si="40"/>
        <v/>
      </c>
    </row>
    <row r="2612" spans="1:1" x14ac:dyDescent="0.2">
      <c r="A2612" s="5" t="str">
        <f t="shared" si="40"/>
        <v/>
      </c>
    </row>
    <row r="2613" spans="1:1" x14ac:dyDescent="0.2">
      <c r="A2613" s="5" t="str">
        <f t="shared" si="40"/>
        <v/>
      </c>
    </row>
    <row r="2614" spans="1:1" x14ac:dyDescent="0.2">
      <c r="A2614" s="5" t="str">
        <f t="shared" si="40"/>
        <v/>
      </c>
    </row>
    <row r="2615" spans="1:1" x14ac:dyDescent="0.2">
      <c r="A2615" s="5" t="str">
        <f t="shared" si="40"/>
        <v/>
      </c>
    </row>
    <row r="2616" spans="1:1" x14ac:dyDescent="0.2">
      <c r="A2616" s="5" t="str">
        <f t="shared" si="40"/>
        <v/>
      </c>
    </row>
    <row r="2617" spans="1:1" x14ac:dyDescent="0.2">
      <c r="A2617" s="5" t="str">
        <f t="shared" si="40"/>
        <v/>
      </c>
    </row>
    <row r="2618" spans="1:1" x14ac:dyDescent="0.2">
      <c r="A2618" s="5" t="str">
        <f t="shared" si="40"/>
        <v/>
      </c>
    </row>
    <row r="2619" spans="1:1" x14ac:dyDescent="0.2">
      <c r="A2619" s="5" t="str">
        <f t="shared" si="40"/>
        <v/>
      </c>
    </row>
    <row r="2620" spans="1:1" x14ac:dyDescent="0.2">
      <c r="A2620" s="5" t="str">
        <f t="shared" si="40"/>
        <v/>
      </c>
    </row>
    <row r="2621" spans="1:1" x14ac:dyDescent="0.2">
      <c r="A2621" s="5" t="str">
        <f t="shared" si="40"/>
        <v/>
      </c>
    </row>
    <row r="2622" spans="1:1" x14ac:dyDescent="0.2">
      <c r="A2622" s="5" t="str">
        <f t="shared" si="40"/>
        <v/>
      </c>
    </row>
    <row r="2623" spans="1:1" x14ac:dyDescent="0.2">
      <c r="A2623" s="5" t="str">
        <f t="shared" si="40"/>
        <v/>
      </c>
    </row>
    <row r="2624" spans="1:1" x14ac:dyDescent="0.2">
      <c r="A2624" s="5" t="str">
        <f t="shared" si="40"/>
        <v/>
      </c>
    </row>
    <row r="2625" spans="1:1" x14ac:dyDescent="0.2">
      <c r="A2625" s="5" t="str">
        <f t="shared" si="40"/>
        <v/>
      </c>
    </row>
    <row r="2626" spans="1:1" x14ac:dyDescent="0.2">
      <c r="A2626" s="5" t="str">
        <f t="shared" si="40"/>
        <v/>
      </c>
    </row>
    <row r="2627" spans="1:1" x14ac:dyDescent="0.2">
      <c r="A2627" s="5" t="str">
        <f t="shared" si="40"/>
        <v/>
      </c>
    </row>
    <row r="2628" spans="1:1" x14ac:dyDescent="0.2">
      <c r="A2628" s="5" t="str">
        <f t="shared" ref="A2628:A2691" si="41">IF(AND(B2627&lt;&gt;"",B2628=""),$A$2&amp;"---&gt;","")</f>
        <v/>
      </c>
    </row>
    <row r="2629" spans="1:1" x14ac:dyDescent="0.2">
      <c r="A2629" s="5" t="str">
        <f t="shared" si="41"/>
        <v/>
      </c>
    </row>
    <row r="2630" spans="1:1" x14ac:dyDescent="0.2">
      <c r="A2630" s="5" t="str">
        <f t="shared" si="41"/>
        <v/>
      </c>
    </row>
    <row r="2631" spans="1:1" x14ac:dyDescent="0.2">
      <c r="A2631" s="5" t="str">
        <f t="shared" si="41"/>
        <v/>
      </c>
    </row>
    <row r="2632" spans="1:1" x14ac:dyDescent="0.2">
      <c r="A2632" s="5" t="str">
        <f t="shared" si="41"/>
        <v/>
      </c>
    </row>
    <row r="2633" spans="1:1" x14ac:dyDescent="0.2">
      <c r="A2633" s="5" t="str">
        <f t="shared" si="41"/>
        <v/>
      </c>
    </row>
    <row r="2634" spans="1:1" x14ac:dyDescent="0.2">
      <c r="A2634" s="5" t="str">
        <f t="shared" si="41"/>
        <v/>
      </c>
    </row>
    <row r="2635" spans="1:1" x14ac:dyDescent="0.2">
      <c r="A2635" s="5" t="str">
        <f t="shared" si="41"/>
        <v/>
      </c>
    </row>
    <row r="2636" spans="1:1" x14ac:dyDescent="0.2">
      <c r="A2636" s="5" t="str">
        <f t="shared" si="41"/>
        <v/>
      </c>
    </row>
    <row r="2637" spans="1:1" x14ac:dyDescent="0.2">
      <c r="A2637" s="5" t="str">
        <f t="shared" si="41"/>
        <v/>
      </c>
    </row>
    <row r="2638" spans="1:1" x14ac:dyDescent="0.2">
      <c r="A2638" s="5" t="str">
        <f t="shared" si="41"/>
        <v/>
      </c>
    </row>
    <row r="2639" spans="1:1" x14ac:dyDescent="0.2">
      <c r="A2639" s="5" t="str">
        <f t="shared" si="41"/>
        <v/>
      </c>
    </row>
    <row r="2640" spans="1:1" x14ac:dyDescent="0.2">
      <c r="A2640" s="5" t="str">
        <f t="shared" si="41"/>
        <v/>
      </c>
    </row>
    <row r="2641" spans="1:1" x14ac:dyDescent="0.2">
      <c r="A2641" s="5" t="str">
        <f t="shared" si="41"/>
        <v/>
      </c>
    </row>
    <row r="2642" spans="1:1" x14ac:dyDescent="0.2">
      <c r="A2642" s="5" t="str">
        <f t="shared" si="41"/>
        <v/>
      </c>
    </row>
    <row r="2643" spans="1:1" x14ac:dyDescent="0.2">
      <c r="A2643" s="5" t="str">
        <f t="shared" si="41"/>
        <v/>
      </c>
    </row>
    <row r="2644" spans="1:1" x14ac:dyDescent="0.2">
      <c r="A2644" s="5" t="str">
        <f t="shared" si="41"/>
        <v/>
      </c>
    </row>
    <row r="2645" spans="1:1" x14ac:dyDescent="0.2">
      <c r="A2645" s="5" t="str">
        <f t="shared" si="41"/>
        <v/>
      </c>
    </row>
    <row r="2646" spans="1:1" x14ac:dyDescent="0.2">
      <c r="A2646" s="5" t="str">
        <f t="shared" si="41"/>
        <v/>
      </c>
    </row>
    <row r="2647" spans="1:1" x14ac:dyDescent="0.2">
      <c r="A2647" s="5" t="str">
        <f t="shared" si="41"/>
        <v/>
      </c>
    </row>
    <row r="2648" spans="1:1" x14ac:dyDescent="0.2">
      <c r="A2648" s="5" t="str">
        <f t="shared" si="41"/>
        <v/>
      </c>
    </row>
    <row r="2649" spans="1:1" x14ac:dyDescent="0.2">
      <c r="A2649" s="5" t="str">
        <f t="shared" si="41"/>
        <v/>
      </c>
    </row>
    <row r="2650" spans="1:1" x14ac:dyDescent="0.2">
      <c r="A2650" s="5" t="str">
        <f t="shared" si="41"/>
        <v/>
      </c>
    </row>
    <row r="2651" spans="1:1" x14ac:dyDescent="0.2">
      <c r="A2651" s="5" t="str">
        <f t="shared" si="41"/>
        <v/>
      </c>
    </row>
    <row r="2652" spans="1:1" x14ac:dyDescent="0.2">
      <c r="A2652" s="5" t="str">
        <f t="shared" si="41"/>
        <v/>
      </c>
    </row>
    <row r="2653" spans="1:1" x14ac:dyDescent="0.2">
      <c r="A2653" s="5" t="str">
        <f t="shared" si="41"/>
        <v/>
      </c>
    </row>
    <row r="2654" spans="1:1" x14ac:dyDescent="0.2">
      <c r="A2654" s="5" t="str">
        <f t="shared" si="41"/>
        <v/>
      </c>
    </row>
    <row r="2655" spans="1:1" x14ac:dyDescent="0.2">
      <c r="A2655" s="5" t="str">
        <f t="shared" si="41"/>
        <v/>
      </c>
    </row>
    <row r="2656" spans="1:1" x14ac:dyDescent="0.2">
      <c r="A2656" s="5" t="str">
        <f t="shared" si="41"/>
        <v/>
      </c>
    </row>
    <row r="2657" spans="1:1" x14ac:dyDescent="0.2">
      <c r="A2657" s="5" t="str">
        <f t="shared" si="41"/>
        <v/>
      </c>
    </row>
    <row r="2658" spans="1:1" x14ac:dyDescent="0.2">
      <c r="A2658" s="5" t="str">
        <f t="shared" si="41"/>
        <v/>
      </c>
    </row>
    <row r="2659" spans="1:1" x14ac:dyDescent="0.2">
      <c r="A2659" s="5" t="str">
        <f t="shared" si="41"/>
        <v/>
      </c>
    </row>
    <row r="2660" spans="1:1" x14ac:dyDescent="0.2">
      <c r="A2660" s="5" t="str">
        <f t="shared" si="41"/>
        <v/>
      </c>
    </row>
    <row r="2661" spans="1:1" x14ac:dyDescent="0.2">
      <c r="A2661" s="5" t="str">
        <f t="shared" si="41"/>
        <v/>
      </c>
    </row>
    <row r="2662" spans="1:1" x14ac:dyDescent="0.2">
      <c r="A2662" s="5" t="str">
        <f t="shared" si="41"/>
        <v/>
      </c>
    </row>
    <row r="2663" spans="1:1" x14ac:dyDescent="0.2">
      <c r="A2663" s="5" t="str">
        <f t="shared" si="41"/>
        <v/>
      </c>
    </row>
    <row r="2664" spans="1:1" x14ac:dyDescent="0.2">
      <c r="A2664" s="5" t="str">
        <f t="shared" si="41"/>
        <v/>
      </c>
    </row>
    <row r="2665" spans="1:1" x14ac:dyDescent="0.2">
      <c r="A2665" s="5" t="str">
        <f t="shared" si="41"/>
        <v/>
      </c>
    </row>
    <row r="2666" spans="1:1" x14ac:dyDescent="0.2">
      <c r="A2666" s="5" t="str">
        <f t="shared" si="41"/>
        <v/>
      </c>
    </row>
    <row r="2667" spans="1:1" x14ac:dyDescent="0.2">
      <c r="A2667" s="5" t="str">
        <f t="shared" si="41"/>
        <v/>
      </c>
    </row>
    <row r="2668" spans="1:1" x14ac:dyDescent="0.2">
      <c r="A2668" s="5" t="str">
        <f t="shared" si="41"/>
        <v/>
      </c>
    </row>
    <row r="2669" spans="1:1" x14ac:dyDescent="0.2">
      <c r="A2669" s="5" t="str">
        <f t="shared" si="41"/>
        <v/>
      </c>
    </row>
    <row r="2670" spans="1:1" x14ac:dyDescent="0.2">
      <c r="A2670" s="5" t="str">
        <f t="shared" si="41"/>
        <v/>
      </c>
    </row>
    <row r="2671" spans="1:1" x14ac:dyDescent="0.2">
      <c r="A2671" s="5" t="str">
        <f t="shared" si="41"/>
        <v/>
      </c>
    </row>
    <row r="2672" spans="1:1" x14ac:dyDescent="0.2">
      <c r="A2672" s="5" t="str">
        <f t="shared" si="41"/>
        <v/>
      </c>
    </row>
    <row r="2673" spans="1:1" x14ac:dyDescent="0.2">
      <c r="A2673" s="5" t="str">
        <f t="shared" si="41"/>
        <v/>
      </c>
    </row>
    <row r="2674" spans="1:1" x14ac:dyDescent="0.2">
      <c r="A2674" s="5" t="str">
        <f t="shared" si="41"/>
        <v/>
      </c>
    </row>
    <row r="2675" spans="1:1" x14ac:dyDescent="0.2">
      <c r="A2675" s="5" t="str">
        <f t="shared" si="41"/>
        <v/>
      </c>
    </row>
    <row r="2676" spans="1:1" x14ac:dyDescent="0.2">
      <c r="A2676" s="5" t="str">
        <f t="shared" si="41"/>
        <v/>
      </c>
    </row>
    <row r="2677" spans="1:1" x14ac:dyDescent="0.2">
      <c r="A2677" s="5" t="str">
        <f t="shared" si="41"/>
        <v/>
      </c>
    </row>
    <row r="2678" spans="1:1" x14ac:dyDescent="0.2">
      <c r="A2678" s="5" t="str">
        <f t="shared" si="41"/>
        <v/>
      </c>
    </row>
    <row r="2679" spans="1:1" x14ac:dyDescent="0.2">
      <c r="A2679" s="5" t="str">
        <f t="shared" si="41"/>
        <v/>
      </c>
    </row>
    <row r="2680" spans="1:1" x14ac:dyDescent="0.2">
      <c r="A2680" s="5" t="str">
        <f t="shared" si="41"/>
        <v/>
      </c>
    </row>
    <row r="2681" spans="1:1" x14ac:dyDescent="0.2">
      <c r="A2681" s="5" t="str">
        <f t="shared" si="41"/>
        <v/>
      </c>
    </row>
    <row r="2682" spans="1:1" x14ac:dyDescent="0.2">
      <c r="A2682" s="5" t="str">
        <f t="shared" si="41"/>
        <v/>
      </c>
    </row>
    <row r="2683" spans="1:1" x14ac:dyDescent="0.2">
      <c r="A2683" s="5" t="str">
        <f t="shared" si="41"/>
        <v/>
      </c>
    </row>
    <row r="2684" spans="1:1" x14ac:dyDescent="0.2">
      <c r="A2684" s="5" t="str">
        <f t="shared" si="41"/>
        <v/>
      </c>
    </row>
    <row r="2685" spans="1:1" x14ac:dyDescent="0.2">
      <c r="A2685" s="5" t="str">
        <f t="shared" si="41"/>
        <v/>
      </c>
    </row>
    <row r="2686" spans="1:1" x14ac:dyDescent="0.2">
      <c r="A2686" s="5" t="str">
        <f t="shared" si="41"/>
        <v/>
      </c>
    </row>
    <row r="2687" spans="1:1" x14ac:dyDescent="0.2">
      <c r="A2687" s="5" t="str">
        <f t="shared" si="41"/>
        <v/>
      </c>
    </row>
    <row r="2688" spans="1:1" x14ac:dyDescent="0.2">
      <c r="A2688" s="5" t="str">
        <f t="shared" si="41"/>
        <v/>
      </c>
    </row>
    <row r="2689" spans="1:1" x14ac:dyDescent="0.2">
      <c r="A2689" s="5" t="str">
        <f t="shared" si="41"/>
        <v/>
      </c>
    </row>
    <row r="2690" spans="1:1" x14ac:dyDescent="0.2">
      <c r="A2690" s="5" t="str">
        <f t="shared" si="41"/>
        <v/>
      </c>
    </row>
    <row r="2691" spans="1:1" x14ac:dyDescent="0.2">
      <c r="A2691" s="5" t="str">
        <f t="shared" si="41"/>
        <v/>
      </c>
    </row>
    <row r="2692" spans="1:1" x14ac:dyDescent="0.2">
      <c r="A2692" s="5" t="str">
        <f t="shared" ref="A2692:A2755" si="42">IF(AND(B2691&lt;&gt;"",B2692=""),$A$2&amp;"---&gt;","")</f>
        <v/>
      </c>
    </row>
    <row r="2693" spans="1:1" x14ac:dyDescent="0.2">
      <c r="A2693" s="5" t="str">
        <f t="shared" si="42"/>
        <v/>
      </c>
    </row>
    <row r="2694" spans="1:1" x14ac:dyDescent="0.2">
      <c r="A2694" s="5" t="str">
        <f t="shared" si="42"/>
        <v/>
      </c>
    </row>
    <row r="2695" spans="1:1" x14ac:dyDescent="0.2">
      <c r="A2695" s="5" t="str">
        <f t="shared" si="42"/>
        <v/>
      </c>
    </row>
    <row r="2696" spans="1:1" x14ac:dyDescent="0.2">
      <c r="A2696" s="5" t="str">
        <f t="shared" si="42"/>
        <v/>
      </c>
    </row>
    <row r="2697" spans="1:1" x14ac:dyDescent="0.2">
      <c r="A2697" s="5" t="str">
        <f t="shared" si="42"/>
        <v/>
      </c>
    </row>
    <row r="2698" spans="1:1" x14ac:dyDescent="0.2">
      <c r="A2698" s="5" t="str">
        <f t="shared" si="42"/>
        <v/>
      </c>
    </row>
    <row r="2699" spans="1:1" x14ac:dyDescent="0.2">
      <c r="A2699" s="5" t="str">
        <f t="shared" si="42"/>
        <v/>
      </c>
    </row>
    <row r="2700" spans="1:1" x14ac:dyDescent="0.2">
      <c r="A2700" s="5" t="str">
        <f t="shared" si="42"/>
        <v/>
      </c>
    </row>
    <row r="2701" spans="1:1" x14ac:dyDescent="0.2">
      <c r="A2701" s="5" t="str">
        <f t="shared" si="42"/>
        <v/>
      </c>
    </row>
    <row r="2702" spans="1:1" x14ac:dyDescent="0.2">
      <c r="A2702" s="5" t="str">
        <f t="shared" si="42"/>
        <v/>
      </c>
    </row>
    <row r="2703" spans="1:1" x14ac:dyDescent="0.2">
      <c r="A2703" s="5" t="str">
        <f t="shared" si="42"/>
        <v/>
      </c>
    </row>
    <row r="2704" spans="1:1" x14ac:dyDescent="0.2">
      <c r="A2704" s="5" t="str">
        <f t="shared" si="42"/>
        <v/>
      </c>
    </row>
    <row r="2705" spans="1:1" x14ac:dyDescent="0.2">
      <c r="A2705" s="5" t="str">
        <f t="shared" si="42"/>
        <v/>
      </c>
    </row>
    <row r="2706" spans="1:1" x14ac:dyDescent="0.2">
      <c r="A2706" s="5" t="str">
        <f t="shared" si="42"/>
        <v/>
      </c>
    </row>
    <row r="2707" spans="1:1" x14ac:dyDescent="0.2">
      <c r="A2707" s="5" t="str">
        <f t="shared" si="42"/>
        <v/>
      </c>
    </row>
    <row r="2708" spans="1:1" x14ac:dyDescent="0.2">
      <c r="A2708" s="5" t="str">
        <f t="shared" si="42"/>
        <v/>
      </c>
    </row>
    <row r="2709" spans="1:1" x14ac:dyDescent="0.2">
      <c r="A2709" s="5" t="str">
        <f t="shared" si="42"/>
        <v/>
      </c>
    </row>
    <row r="2710" spans="1:1" x14ac:dyDescent="0.2">
      <c r="A2710" s="5" t="str">
        <f t="shared" si="42"/>
        <v/>
      </c>
    </row>
    <row r="2711" spans="1:1" x14ac:dyDescent="0.2">
      <c r="A2711" s="5" t="str">
        <f t="shared" si="42"/>
        <v/>
      </c>
    </row>
    <row r="2712" spans="1:1" x14ac:dyDescent="0.2">
      <c r="A2712" s="5" t="str">
        <f t="shared" si="42"/>
        <v/>
      </c>
    </row>
    <row r="2713" spans="1:1" x14ac:dyDescent="0.2">
      <c r="A2713" s="5" t="str">
        <f t="shared" si="42"/>
        <v/>
      </c>
    </row>
    <row r="2714" spans="1:1" x14ac:dyDescent="0.2">
      <c r="A2714" s="5" t="str">
        <f t="shared" si="42"/>
        <v/>
      </c>
    </row>
    <row r="2715" spans="1:1" x14ac:dyDescent="0.2">
      <c r="A2715" s="5" t="str">
        <f t="shared" si="42"/>
        <v/>
      </c>
    </row>
    <row r="2716" spans="1:1" x14ac:dyDescent="0.2">
      <c r="A2716" s="5" t="str">
        <f t="shared" si="42"/>
        <v/>
      </c>
    </row>
    <row r="2717" spans="1:1" x14ac:dyDescent="0.2">
      <c r="A2717" s="5" t="str">
        <f t="shared" si="42"/>
        <v/>
      </c>
    </row>
    <row r="2718" spans="1:1" x14ac:dyDescent="0.2">
      <c r="A2718" s="5" t="str">
        <f t="shared" si="42"/>
        <v/>
      </c>
    </row>
    <row r="2719" spans="1:1" x14ac:dyDescent="0.2">
      <c r="A2719" s="5" t="str">
        <f t="shared" si="42"/>
        <v/>
      </c>
    </row>
    <row r="2720" spans="1:1" x14ac:dyDescent="0.2">
      <c r="A2720" s="5" t="str">
        <f t="shared" si="42"/>
        <v/>
      </c>
    </row>
    <row r="2721" spans="1:1" x14ac:dyDescent="0.2">
      <c r="A2721" s="5" t="str">
        <f t="shared" si="42"/>
        <v/>
      </c>
    </row>
    <row r="2722" spans="1:1" x14ac:dyDescent="0.2">
      <c r="A2722" s="5" t="str">
        <f t="shared" si="42"/>
        <v/>
      </c>
    </row>
    <row r="2723" spans="1:1" x14ac:dyDescent="0.2">
      <c r="A2723" s="5" t="str">
        <f t="shared" si="42"/>
        <v/>
      </c>
    </row>
    <row r="2724" spans="1:1" x14ac:dyDescent="0.2">
      <c r="A2724" s="5" t="str">
        <f t="shared" si="42"/>
        <v/>
      </c>
    </row>
    <row r="2725" spans="1:1" x14ac:dyDescent="0.2">
      <c r="A2725" s="5" t="str">
        <f t="shared" si="42"/>
        <v/>
      </c>
    </row>
    <row r="2726" spans="1:1" x14ac:dyDescent="0.2">
      <c r="A2726" s="5" t="str">
        <f t="shared" si="42"/>
        <v/>
      </c>
    </row>
    <row r="2727" spans="1:1" x14ac:dyDescent="0.2">
      <c r="A2727" s="5" t="str">
        <f t="shared" si="42"/>
        <v/>
      </c>
    </row>
    <row r="2728" spans="1:1" x14ac:dyDescent="0.2">
      <c r="A2728" s="5" t="str">
        <f t="shared" si="42"/>
        <v/>
      </c>
    </row>
    <row r="2729" spans="1:1" x14ac:dyDescent="0.2">
      <c r="A2729" s="5" t="str">
        <f t="shared" si="42"/>
        <v/>
      </c>
    </row>
    <row r="2730" spans="1:1" x14ac:dyDescent="0.2">
      <c r="A2730" s="5" t="str">
        <f t="shared" si="42"/>
        <v/>
      </c>
    </row>
    <row r="2731" spans="1:1" x14ac:dyDescent="0.2">
      <c r="A2731" s="5" t="str">
        <f t="shared" si="42"/>
        <v/>
      </c>
    </row>
    <row r="2732" spans="1:1" x14ac:dyDescent="0.2">
      <c r="A2732" s="5" t="str">
        <f t="shared" si="42"/>
        <v/>
      </c>
    </row>
    <row r="2733" spans="1:1" x14ac:dyDescent="0.2">
      <c r="A2733" s="5" t="str">
        <f t="shared" si="42"/>
        <v/>
      </c>
    </row>
    <row r="2734" spans="1:1" x14ac:dyDescent="0.2">
      <c r="A2734" s="5" t="str">
        <f t="shared" si="42"/>
        <v/>
      </c>
    </row>
    <row r="2735" spans="1:1" x14ac:dyDescent="0.2">
      <c r="A2735" s="5" t="str">
        <f t="shared" si="42"/>
        <v/>
      </c>
    </row>
    <row r="2736" spans="1:1" x14ac:dyDescent="0.2">
      <c r="A2736" s="5" t="str">
        <f t="shared" si="42"/>
        <v/>
      </c>
    </row>
    <row r="2737" spans="1:1" x14ac:dyDescent="0.2">
      <c r="A2737" s="5" t="str">
        <f t="shared" si="42"/>
        <v/>
      </c>
    </row>
    <row r="2738" spans="1:1" x14ac:dyDescent="0.2">
      <c r="A2738" s="5" t="str">
        <f t="shared" si="42"/>
        <v/>
      </c>
    </row>
    <row r="2739" spans="1:1" x14ac:dyDescent="0.2">
      <c r="A2739" s="5" t="str">
        <f t="shared" si="42"/>
        <v/>
      </c>
    </row>
    <row r="2740" spans="1:1" x14ac:dyDescent="0.2">
      <c r="A2740" s="5" t="str">
        <f t="shared" si="42"/>
        <v/>
      </c>
    </row>
    <row r="2741" spans="1:1" x14ac:dyDescent="0.2">
      <c r="A2741" s="5" t="str">
        <f t="shared" si="42"/>
        <v/>
      </c>
    </row>
    <row r="2742" spans="1:1" x14ac:dyDescent="0.2">
      <c r="A2742" s="5" t="str">
        <f t="shared" si="42"/>
        <v/>
      </c>
    </row>
    <row r="2743" spans="1:1" x14ac:dyDescent="0.2">
      <c r="A2743" s="5" t="str">
        <f t="shared" si="42"/>
        <v/>
      </c>
    </row>
    <row r="2744" spans="1:1" x14ac:dyDescent="0.2">
      <c r="A2744" s="5" t="str">
        <f t="shared" si="42"/>
        <v/>
      </c>
    </row>
    <row r="2745" spans="1:1" x14ac:dyDescent="0.2">
      <c r="A2745" s="5" t="str">
        <f t="shared" si="42"/>
        <v/>
      </c>
    </row>
    <row r="2746" spans="1:1" x14ac:dyDescent="0.2">
      <c r="A2746" s="5" t="str">
        <f t="shared" si="42"/>
        <v/>
      </c>
    </row>
    <row r="2747" spans="1:1" x14ac:dyDescent="0.2">
      <c r="A2747" s="5" t="str">
        <f t="shared" si="42"/>
        <v/>
      </c>
    </row>
    <row r="2748" spans="1:1" x14ac:dyDescent="0.2">
      <c r="A2748" s="5" t="str">
        <f t="shared" si="42"/>
        <v/>
      </c>
    </row>
    <row r="2749" spans="1:1" x14ac:dyDescent="0.2">
      <c r="A2749" s="5" t="str">
        <f t="shared" si="42"/>
        <v/>
      </c>
    </row>
    <row r="2750" spans="1:1" x14ac:dyDescent="0.2">
      <c r="A2750" s="5" t="str">
        <f t="shared" si="42"/>
        <v/>
      </c>
    </row>
    <row r="2751" spans="1:1" x14ac:dyDescent="0.2">
      <c r="A2751" s="5" t="str">
        <f t="shared" si="42"/>
        <v/>
      </c>
    </row>
    <row r="2752" spans="1:1" x14ac:dyDescent="0.2">
      <c r="A2752" s="5" t="str">
        <f t="shared" si="42"/>
        <v/>
      </c>
    </row>
    <row r="2753" spans="1:1" x14ac:dyDescent="0.2">
      <c r="A2753" s="5" t="str">
        <f t="shared" si="42"/>
        <v/>
      </c>
    </row>
    <row r="2754" spans="1:1" x14ac:dyDescent="0.2">
      <c r="A2754" s="5" t="str">
        <f t="shared" si="42"/>
        <v/>
      </c>
    </row>
    <row r="2755" spans="1:1" x14ac:dyDescent="0.2">
      <c r="A2755" s="5" t="str">
        <f t="shared" si="42"/>
        <v/>
      </c>
    </row>
    <row r="2756" spans="1:1" x14ac:dyDescent="0.2">
      <c r="A2756" s="5" t="str">
        <f t="shared" ref="A2756:A2819" si="43">IF(AND(B2755&lt;&gt;"",B2756=""),$A$2&amp;"---&gt;","")</f>
        <v/>
      </c>
    </row>
    <row r="2757" spans="1:1" x14ac:dyDescent="0.2">
      <c r="A2757" s="5" t="str">
        <f t="shared" si="43"/>
        <v/>
      </c>
    </row>
    <row r="2758" spans="1:1" x14ac:dyDescent="0.2">
      <c r="A2758" s="5" t="str">
        <f t="shared" si="43"/>
        <v/>
      </c>
    </row>
    <row r="2759" spans="1:1" x14ac:dyDescent="0.2">
      <c r="A2759" s="5" t="str">
        <f t="shared" si="43"/>
        <v/>
      </c>
    </row>
    <row r="2760" spans="1:1" x14ac:dyDescent="0.2">
      <c r="A2760" s="5" t="str">
        <f t="shared" si="43"/>
        <v/>
      </c>
    </row>
    <row r="2761" spans="1:1" x14ac:dyDescent="0.2">
      <c r="A2761" s="5" t="str">
        <f t="shared" si="43"/>
        <v/>
      </c>
    </row>
    <row r="2762" spans="1:1" x14ac:dyDescent="0.2">
      <c r="A2762" s="5" t="str">
        <f t="shared" si="43"/>
        <v/>
      </c>
    </row>
    <row r="2763" spans="1:1" x14ac:dyDescent="0.2">
      <c r="A2763" s="5" t="str">
        <f t="shared" si="43"/>
        <v/>
      </c>
    </row>
    <row r="2764" spans="1:1" x14ac:dyDescent="0.2">
      <c r="A2764" s="5" t="str">
        <f t="shared" si="43"/>
        <v/>
      </c>
    </row>
    <row r="2765" spans="1:1" x14ac:dyDescent="0.2">
      <c r="A2765" s="5" t="str">
        <f t="shared" si="43"/>
        <v/>
      </c>
    </row>
    <row r="2766" spans="1:1" x14ac:dyDescent="0.2">
      <c r="A2766" s="5" t="str">
        <f t="shared" si="43"/>
        <v/>
      </c>
    </row>
    <row r="2767" spans="1:1" x14ac:dyDescent="0.2">
      <c r="A2767" s="5" t="str">
        <f t="shared" si="43"/>
        <v/>
      </c>
    </row>
    <row r="2768" spans="1:1" x14ac:dyDescent="0.2">
      <c r="A2768" s="5" t="str">
        <f t="shared" si="43"/>
        <v/>
      </c>
    </row>
    <row r="2769" spans="1:1" x14ac:dyDescent="0.2">
      <c r="A2769" s="5" t="str">
        <f t="shared" si="43"/>
        <v/>
      </c>
    </row>
    <row r="2770" spans="1:1" x14ac:dyDescent="0.2">
      <c r="A2770" s="5" t="str">
        <f t="shared" si="43"/>
        <v/>
      </c>
    </row>
    <row r="2771" spans="1:1" x14ac:dyDescent="0.2">
      <c r="A2771" s="5" t="str">
        <f t="shared" si="43"/>
        <v/>
      </c>
    </row>
    <row r="2772" spans="1:1" x14ac:dyDescent="0.2">
      <c r="A2772" s="5" t="str">
        <f t="shared" si="43"/>
        <v/>
      </c>
    </row>
    <row r="2773" spans="1:1" x14ac:dyDescent="0.2">
      <c r="A2773" s="5" t="str">
        <f t="shared" si="43"/>
        <v/>
      </c>
    </row>
    <row r="2774" spans="1:1" x14ac:dyDescent="0.2">
      <c r="A2774" s="5" t="str">
        <f t="shared" si="43"/>
        <v/>
      </c>
    </row>
    <row r="2775" spans="1:1" x14ac:dyDescent="0.2">
      <c r="A2775" s="5" t="str">
        <f t="shared" si="43"/>
        <v/>
      </c>
    </row>
    <row r="2776" spans="1:1" x14ac:dyDescent="0.2">
      <c r="A2776" s="5" t="str">
        <f t="shared" si="43"/>
        <v/>
      </c>
    </row>
    <row r="2777" spans="1:1" x14ac:dyDescent="0.2">
      <c r="A2777" s="5" t="str">
        <f t="shared" si="43"/>
        <v/>
      </c>
    </row>
    <row r="2778" spans="1:1" x14ac:dyDescent="0.2">
      <c r="A2778" s="5" t="str">
        <f t="shared" si="43"/>
        <v/>
      </c>
    </row>
    <row r="2779" spans="1:1" x14ac:dyDescent="0.2">
      <c r="A2779" s="5" t="str">
        <f t="shared" si="43"/>
        <v/>
      </c>
    </row>
    <row r="2780" spans="1:1" x14ac:dyDescent="0.2">
      <c r="A2780" s="5" t="str">
        <f t="shared" si="43"/>
        <v/>
      </c>
    </row>
    <row r="2781" spans="1:1" x14ac:dyDescent="0.2">
      <c r="A2781" s="5" t="str">
        <f t="shared" si="43"/>
        <v/>
      </c>
    </row>
    <row r="2782" spans="1:1" x14ac:dyDescent="0.2">
      <c r="A2782" s="5" t="str">
        <f t="shared" si="43"/>
        <v/>
      </c>
    </row>
    <row r="2783" spans="1:1" x14ac:dyDescent="0.2">
      <c r="A2783" s="5" t="str">
        <f t="shared" si="43"/>
        <v/>
      </c>
    </row>
    <row r="2784" spans="1:1" x14ac:dyDescent="0.2">
      <c r="A2784" s="5" t="str">
        <f t="shared" si="43"/>
        <v/>
      </c>
    </row>
    <row r="2785" spans="1:1" x14ac:dyDescent="0.2">
      <c r="A2785" s="5" t="str">
        <f t="shared" si="43"/>
        <v/>
      </c>
    </row>
    <row r="2786" spans="1:1" x14ac:dyDescent="0.2">
      <c r="A2786" s="5" t="str">
        <f t="shared" si="43"/>
        <v/>
      </c>
    </row>
    <row r="2787" spans="1:1" x14ac:dyDescent="0.2">
      <c r="A2787" s="5" t="str">
        <f t="shared" si="43"/>
        <v/>
      </c>
    </row>
    <row r="2788" spans="1:1" x14ac:dyDescent="0.2">
      <c r="A2788" s="5" t="str">
        <f t="shared" si="43"/>
        <v/>
      </c>
    </row>
    <row r="2789" spans="1:1" x14ac:dyDescent="0.2">
      <c r="A2789" s="5" t="str">
        <f t="shared" si="43"/>
        <v/>
      </c>
    </row>
    <row r="2790" spans="1:1" x14ac:dyDescent="0.2">
      <c r="A2790" s="5" t="str">
        <f t="shared" si="43"/>
        <v/>
      </c>
    </row>
    <row r="2791" spans="1:1" x14ac:dyDescent="0.2">
      <c r="A2791" s="5" t="str">
        <f t="shared" si="43"/>
        <v/>
      </c>
    </row>
    <row r="2792" spans="1:1" x14ac:dyDescent="0.2">
      <c r="A2792" s="5" t="str">
        <f t="shared" si="43"/>
        <v/>
      </c>
    </row>
    <row r="2793" spans="1:1" x14ac:dyDescent="0.2">
      <c r="A2793" s="5" t="str">
        <f t="shared" si="43"/>
        <v/>
      </c>
    </row>
    <row r="2794" spans="1:1" x14ac:dyDescent="0.2">
      <c r="A2794" s="5" t="str">
        <f t="shared" si="43"/>
        <v/>
      </c>
    </row>
    <row r="2795" spans="1:1" x14ac:dyDescent="0.2">
      <c r="A2795" s="5" t="str">
        <f t="shared" si="43"/>
        <v/>
      </c>
    </row>
    <row r="2796" spans="1:1" x14ac:dyDescent="0.2">
      <c r="A2796" s="5" t="str">
        <f t="shared" si="43"/>
        <v/>
      </c>
    </row>
    <row r="2797" spans="1:1" x14ac:dyDescent="0.2">
      <c r="A2797" s="5" t="str">
        <f t="shared" si="43"/>
        <v/>
      </c>
    </row>
    <row r="2798" spans="1:1" x14ac:dyDescent="0.2">
      <c r="A2798" s="5" t="str">
        <f t="shared" si="43"/>
        <v/>
      </c>
    </row>
    <row r="2799" spans="1:1" x14ac:dyDescent="0.2">
      <c r="A2799" s="5" t="str">
        <f t="shared" si="43"/>
        <v/>
      </c>
    </row>
    <row r="2800" spans="1:1" x14ac:dyDescent="0.2">
      <c r="A2800" s="5" t="str">
        <f t="shared" si="43"/>
        <v/>
      </c>
    </row>
    <row r="2801" spans="1:1" x14ac:dyDescent="0.2">
      <c r="A2801" s="5" t="str">
        <f t="shared" si="43"/>
        <v/>
      </c>
    </row>
    <row r="2802" spans="1:1" x14ac:dyDescent="0.2">
      <c r="A2802" s="5" t="str">
        <f t="shared" si="43"/>
        <v/>
      </c>
    </row>
    <row r="2803" spans="1:1" x14ac:dyDescent="0.2">
      <c r="A2803" s="5" t="str">
        <f t="shared" si="43"/>
        <v/>
      </c>
    </row>
    <row r="2804" spans="1:1" x14ac:dyDescent="0.2">
      <c r="A2804" s="5" t="str">
        <f t="shared" si="43"/>
        <v/>
      </c>
    </row>
    <row r="2805" spans="1:1" x14ac:dyDescent="0.2">
      <c r="A2805" s="5" t="str">
        <f t="shared" si="43"/>
        <v/>
      </c>
    </row>
    <row r="2806" spans="1:1" x14ac:dyDescent="0.2">
      <c r="A2806" s="5" t="str">
        <f t="shared" si="43"/>
        <v/>
      </c>
    </row>
    <row r="2807" spans="1:1" x14ac:dyDescent="0.2">
      <c r="A2807" s="5" t="str">
        <f t="shared" si="43"/>
        <v/>
      </c>
    </row>
    <row r="2808" spans="1:1" x14ac:dyDescent="0.2">
      <c r="A2808" s="5" t="str">
        <f t="shared" si="43"/>
        <v/>
      </c>
    </row>
    <row r="2809" spans="1:1" x14ac:dyDescent="0.2">
      <c r="A2809" s="5" t="str">
        <f t="shared" si="43"/>
        <v/>
      </c>
    </row>
    <row r="2810" spans="1:1" x14ac:dyDescent="0.2">
      <c r="A2810" s="5" t="str">
        <f t="shared" si="43"/>
        <v/>
      </c>
    </row>
    <row r="2811" spans="1:1" x14ac:dyDescent="0.2">
      <c r="A2811" s="5" t="str">
        <f t="shared" si="43"/>
        <v/>
      </c>
    </row>
    <row r="2812" spans="1:1" x14ac:dyDescent="0.2">
      <c r="A2812" s="5" t="str">
        <f t="shared" si="43"/>
        <v/>
      </c>
    </row>
    <row r="2813" spans="1:1" x14ac:dyDescent="0.2">
      <c r="A2813" s="5" t="str">
        <f t="shared" si="43"/>
        <v/>
      </c>
    </row>
    <row r="2814" spans="1:1" x14ac:dyDescent="0.2">
      <c r="A2814" s="5" t="str">
        <f t="shared" si="43"/>
        <v/>
      </c>
    </row>
    <row r="2815" spans="1:1" x14ac:dyDescent="0.2">
      <c r="A2815" s="5" t="str">
        <f t="shared" si="43"/>
        <v/>
      </c>
    </row>
    <row r="2816" spans="1:1" x14ac:dyDescent="0.2">
      <c r="A2816" s="5" t="str">
        <f t="shared" si="43"/>
        <v/>
      </c>
    </row>
    <row r="2817" spans="1:1" x14ac:dyDescent="0.2">
      <c r="A2817" s="5" t="str">
        <f t="shared" si="43"/>
        <v/>
      </c>
    </row>
    <row r="2818" spans="1:1" x14ac:dyDescent="0.2">
      <c r="A2818" s="5" t="str">
        <f t="shared" si="43"/>
        <v/>
      </c>
    </row>
    <row r="2819" spans="1:1" x14ac:dyDescent="0.2">
      <c r="A2819" s="5" t="str">
        <f t="shared" si="43"/>
        <v/>
      </c>
    </row>
    <row r="2820" spans="1:1" x14ac:dyDescent="0.2">
      <c r="A2820" s="5" t="str">
        <f t="shared" ref="A2820:A2883" si="44">IF(AND(B2819&lt;&gt;"",B2820=""),$A$2&amp;"---&gt;","")</f>
        <v/>
      </c>
    </row>
    <row r="2821" spans="1:1" x14ac:dyDescent="0.2">
      <c r="A2821" s="5" t="str">
        <f t="shared" si="44"/>
        <v/>
      </c>
    </row>
    <row r="2822" spans="1:1" x14ac:dyDescent="0.2">
      <c r="A2822" s="5" t="str">
        <f t="shared" si="44"/>
        <v/>
      </c>
    </row>
    <row r="2823" spans="1:1" x14ac:dyDescent="0.2">
      <c r="A2823" s="5" t="str">
        <f t="shared" si="44"/>
        <v/>
      </c>
    </row>
    <row r="2824" spans="1:1" x14ac:dyDescent="0.2">
      <c r="A2824" s="5" t="str">
        <f t="shared" si="44"/>
        <v/>
      </c>
    </row>
    <row r="2825" spans="1:1" x14ac:dyDescent="0.2">
      <c r="A2825" s="5" t="str">
        <f t="shared" si="44"/>
        <v/>
      </c>
    </row>
    <row r="2826" spans="1:1" x14ac:dyDescent="0.2">
      <c r="A2826" s="5" t="str">
        <f t="shared" si="44"/>
        <v/>
      </c>
    </row>
    <row r="2827" spans="1:1" x14ac:dyDescent="0.2">
      <c r="A2827" s="5" t="str">
        <f t="shared" si="44"/>
        <v/>
      </c>
    </row>
    <row r="2828" spans="1:1" x14ac:dyDescent="0.2">
      <c r="A2828" s="5" t="str">
        <f t="shared" si="44"/>
        <v/>
      </c>
    </row>
    <row r="2829" spans="1:1" x14ac:dyDescent="0.2">
      <c r="A2829" s="5" t="str">
        <f t="shared" si="44"/>
        <v/>
      </c>
    </row>
    <row r="2830" spans="1:1" x14ac:dyDescent="0.2">
      <c r="A2830" s="5" t="str">
        <f t="shared" si="44"/>
        <v/>
      </c>
    </row>
    <row r="2831" spans="1:1" x14ac:dyDescent="0.2">
      <c r="A2831" s="5" t="str">
        <f t="shared" si="44"/>
        <v/>
      </c>
    </row>
    <row r="2832" spans="1:1" x14ac:dyDescent="0.2">
      <c r="A2832" s="5" t="str">
        <f t="shared" si="44"/>
        <v/>
      </c>
    </row>
    <row r="2833" spans="1:1" x14ac:dyDescent="0.2">
      <c r="A2833" s="5" t="str">
        <f t="shared" si="44"/>
        <v/>
      </c>
    </row>
    <row r="2834" spans="1:1" x14ac:dyDescent="0.2">
      <c r="A2834" s="5" t="str">
        <f t="shared" si="44"/>
        <v/>
      </c>
    </row>
    <row r="2835" spans="1:1" x14ac:dyDescent="0.2">
      <c r="A2835" s="5" t="str">
        <f t="shared" si="44"/>
        <v/>
      </c>
    </row>
    <row r="2836" spans="1:1" x14ac:dyDescent="0.2">
      <c r="A2836" s="5" t="str">
        <f t="shared" si="44"/>
        <v/>
      </c>
    </row>
    <row r="2837" spans="1:1" x14ac:dyDescent="0.2">
      <c r="A2837" s="5" t="str">
        <f t="shared" si="44"/>
        <v/>
      </c>
    </row>
    <row r="2838" spans="1:1" x14ac:dyDescent="0.2">
      <c r="A2838" s="5" t="str">
        <f t="shared" si="44"/>
        <v/>
      </c>
    </row>
    <row r="2839" spans="1:1" x14ac:dyDescent="0.2">
      <c r="A2839" s="5" t="str">
        <f t="shared" si="44"/>
        <v/>
      </c>
    </row>
    <row r="2840" spans="1:1" x14ac:dyDescent="0.2">
      <c r="A2840" s="5" t="str">
        <f t="shared" si="44"/>
        <v/>
      </c>
    </row>
    <row r="2841" spans="1:1" x14ac:dyDescent="0.2">
      <c r="A2841" s="5" t="str">
        <f t="shared" si="44"/>
        <v/>
      </c>
    </row>
    <row r="2842" spans="1:1" x14ac:dyDescent="0.2">
      <c r="A2842" s="5" t="str">
        <f t="shared" si="44"/>
        <v/>
      </c>
    </row>
    <row r="2843" spans="1:1" x14ac:dyDescent="0.2">
      <c r="A2843" s="5" t="str">
        <f t="shared" si="44"/>
        <v/>
      </c>
    </row>
    <row r="2844" spans="1:1" x14ac:dyDescent="0.2">
      <c r="A2844" s="5" t="str">
        <f t="shared" si="44"/>
        <v/>
      </c>
    </row>
    <row r="2845" spans="1:1" x14ac:dyDescent="0.2">
      <c r="A2845" s="5" t="str">
        <f t="shared" si="44"/>
        <v/>
      </c>
    </row>
    <row r="2846" spans="1:1" x14ac:dyDescent="0.2">
      <c r="A2846" s="5" t="str">
        <f t="shared" si="44"/>
        <v/>
      </c>
    </row>
    <row r="2847" spans="1:1" x14ac:dyDescent="0.2">
      <c r="A2847" s="5" t="str">
        <f t="shared" si="44"/>
        <v/>
      </c>
    </row>
    <row r="2848" spans="1:1" x14ac:dyDescent="0.2">
      <c r="A2848" s="5" t="str">
        <f t="shared" si="44"/>
        <v/>
      </c>
    </row>
    <row r="2849" spans="1:1" x14ac:dyDescent="0.2">
      <c r="A2849" s="5" t="str">
        <f t="shared" si="44"/>
        <v/>
      </c>
    </row>
    <row r="2850" spans="1:1" x14ac:dyDescent="0.2">
      <c r="A2850" s="5" t="str">
        <f t="shared" si="44"/>
        <v/>
      </c>
    </row>
    <row r="2851" spans="1:1" x14ac:dyDescent="0.2">
      <c r="A2851" s="5" t="str">
        <f t="shared" si="44"/>
        <v/>
      </c>
    </row>
    <row r="2852" spans="1:1" x14ac:dyDescent="0.2">
      <c r="A2852" s="5" t="str">
        <f t="shared" si="44"/>
        <v/>
      </c>
    </row>
    <row r="2853" spans="1:1" x14ac:dyDescent="0.2">
      <c r="A2853" s="5" t="str">
        <f t="shared" si="44"/>
        <v/>
      </c>
    </row>
    <row r="2854" spans="1:1" x14ac:dyDescent="0.2">
      <c r="A2854" s="5" t="str">
        <f t="shared" si="44"/>
        <v/>
      </c>
    </row>
    <row r="2855" spans="1:1" x14ac:dyDescent="0.2">
      <c r="A2855" s="5" t="str">
        <f t="shared" si="44"/>
        <v/>
      </c>
    </row>
    <row r="2856" spans="1:1" x14ac:dyDescent="0.2">
      <c r="A2856" s="5" t="str">
        <f t="shared" si="44"/>
        <v/>
      </c>
    </row>
    <row r="2857" spans="1:1" x14ac:dyDescent="0.2">
      <c r="A2857" s="5" t="str">
        <f t="shared" si="44"/>
        <v/>
      </c>
    </row>
    <row r="2858" spans="1:1" x14ac:dyDescent="0.2">
      <c r="A2858" s="5" t="str">
        <f t="shared" si="44"/>
        <v/>
      </c>
    </row>
    <row r="2859" spans="1:1" x14ac:dyDescent="0.2">
      <c r="A2859" s="5" t="str">
        <f t="shared" si="44"/>
        <v/>
      </c>
    </row>
    <row r="2860" spans="1:1" x14ac:dyDescent="0.2">
      <c r="A2860" s="5" t="str">
        <f t="shared" si="44"/>
        <v/>
      </c>
    </row>
    <row r="2861" spans="1:1" x14ac:dyDescent="0.2">
      <c r="A2861" s="5" t="str">
        <f t="shared" si="44"/>
        <v/>
      </c>
    </row>
    <row r="2862" spans="1:1" x14ac:dyDescent="0.2">
      <c r="A2862" s="5" t="str">
        <f t="shared" si="44"/>
        <v/>
      </c>
    </row>
    <row r="2863" spans="1:1" x14ac:dyDescent="0.2">
      <c r="A2863" s="5" t="str">
        <f t="shared" si="44"/>
        <v/>
      </c>
    </row>
    <row r="2864" spans="1:1" x14ac:dyDescent="0.2">
      <c r="A2864" s="5" t="str">
        <f t="shared" si="44"/>
        <v/>
      </c>
    </row>
    <row r="2865" spans="1:1" x14ac:dyDescent="0.2">
      <c r="A2865" s="5" t="str">
        <f t="shared" si="44"/>
        <v/>
      </c>
    </row>
    <row r="2866" spans="1:1" x14ac:dyDescent="0.2">
      <c r="A2866" s="5" t="str">
        <f t="shared" si="44"/>
        <v/>
      </c>
    </row>
    <row r="2867" spans="1:1" x14ac:dyDescent="0.2">
      <c r="A2867" s="5" t="str">
        <f t="shared" si="44"/>
        <v/>
      </c>
    </row>
    <row r="2868" spans="1:1" x14ac:dyDescent="0.2">
      <c r="A2868" s="5" t="str">
        <f t="shared" si="44"/>
        <v/>
      </c>
    </row>
    <row r="2869" spans="1:1" x14ac:dyDescent="0.2">
      <c r="A2869" s="5" t="str">
        <f t="shared" si="44"/>
        <v/>
      </c>
    </row>
    <row r="2870" spans="1:1" x14ac:dyDescent="0.2">
      <c r="A2870" s="5" t="str">
        <f t="shared" si="44"/>
        <v/>
      </c>
    </row>
    <row r="2871" spans="1:1" x14ac:dyDescent="0.2">
      <c r="A2871" s="5" t="str">
        <f t="shared" si="44"/>
        <v/>
      </c>
    </row>
    <row r="2872" spans="1:1" x14ac:dyDescent="0.2">
      <c r="A2872" s="5" t="str">
        <f t="shared" si="44"/>
        <v/>
      </c>
    </row>
    <row r="2873" spans="1:1" x14ac:dyDescent="0.2">
      <c r="A2873" s="5" t="str">
        <f t="shared" si="44"/>
        <v/>
      </c>
    </row>
    <row r="2874" spans="1:1" x14ac:dyDescent="0.2">
      <c r="A2874" s="5" t="str">
        <f t="shared" si="44"/>
        <v/>
      </c>
    </row>
    <row r="2875" spans="1:1" x14ac:dyDescent="0.2">
      <c r="A2875" s="5" t="str">
        <f t="shared" si="44"/>
        <v/>
      </c>
    </row>
    <row r="2876" spans="1:1" x14ac:dyDescent="0.2">
      <c r="A2876" s="5" t="str">
        <f t="shared" si="44"/>
        <v/>
      </c>
    </row>
    <row r="2877" spans="1:1" x14ac:dyDescent="0.2">
      <c r="A2877" s="5" t="str">
        <f t="shared" si="44"/>
        <v/>
      </c>
    </row>
    <row r="2878" spans="1:1" x14ac:dyDescent="0.2">
      <c r="A2878" s="5" t="str">
        <f t="shared" si="44"/>
        <v/>
      </c>
    </row>
    <row r="2879" spans="1:1" x14ac:dyDescent="0.2">
      <c r="A2879" s="5" t="str">
        <f t="shared" si="44"/>
        <v/>
      </c>
    </row>
    <row r="2880" spans="1:1" x14ac:dyDescent="0.2">
      <c r="A2880" s="5" t="str">
        <f t="shared" si="44"/>
        <v/>
      </c>
    </row>
    <row r="2881" spans="1:1" x14ac:dyDescent="0.2">
      <c r="A2881" s="5" t="str">
        <f t="shared" si="44"/>
        <v/>
      </c>
    </row>
    <row r="2882" spans="1:1" x14ac:dyDescent="0.2">
      <c r="A2882" s="5" t="str">
        <f t="shared" si="44"/>
        <v/>
      </c>
    </row>
    <row r="2883" spans="1:1" x14ac:dyDescent="0.2">
      <c r="A2883" s="5" t="str">
        <f t="shared" si="44"/>
        <v/>
      </c>
    </row>
    <row r="2884" spans="1:1" x14ac:dyDescent="0.2">
      <c r="A2884" s="5" t="str">
        <f t="shared" ref="A2884:A2947" si="45">IF(AND(B2883&lt;&gt;"",B2884=""),$A$2&amp;"---&gt;","")</f>
        <v/>
      </c>
    </row>
    <row r="2885" spans="1:1" x14ac:dyDescent="0.2">
      <c r="A2885" s="5" t="str">
        <f t="shared" si="45"/>
        <v/>
      </c>
    </row>
    <row r="2886" spans="1:1" x14ac:dyDescent="0.2">
      <c r="A2886" s="5" t="str">
        <f t="shared" si="45"/>
        <v/>
      </c>
    </row>
    <row r="2887" spans="1:1" x14ac:dyDescent="0.2">
      <c r="A2887" s="5" t="str">
        <f t="shared" si="45"/>
        <v/>
      </c>
    </row>
    <row r="2888" spans="1:1" x14ac:dyDescent="0.2">
      <c r="A2888" s="5" t="str">
        <f t="shared" si="45"/>
        <v/>
      </c>
    </row>
    <row r="2889" spans="1:1" x14ac:dyDescent="0.2">
      <c r="A2889" s="5" t="str">
        <f t="shared" si="45"/>
        <v/>
      </c>
    </row>
    <row r="2890" spans="1:1" x14ac:dyDescent="0.2">
      <c r="A2890" s="5" t="str">
        <f t="shared" si="45"/>
        <v/>
      </c>
    </row>
    <row r="2891" spans="1:1" x14ac:dyDescent="0.2">
      <c r="A2891" s="5" t="str">
        <f t="shared" si="45"/>
        <v/>
      </c>
    </row>
    <row r="2892" spans="1:1" x14ac:dyDescent="0.2">
      <c r="A2892" s="5" t="str">
        <f t="shared" si="45"/>
        <v/>
      </c>
    </row>
    <row r="2893" spans="1:1" x14ac:dyDescent="0.2">
      <c r="A2893" s="5" t="str">
        <f t="shared" si="45"/>
        <v/>
      </c>
    </row>
    <row r="2894" spans="1:1" x14ac:dyDescent="0.2">
      <c r="A2894" s="5" t="str">
        <f t="shared" si="45"/>
        <v/>
      </c>
    </row>
    <row r="2895" spans="1:1" x14ac:dyDescent="0.2">
      <c r="A2895" s="5" t="str">
        <f t="shared" si="45"/>
        <v/>
      </c>
    </row>
    <row r="2896" spans="1:1" x14ac:dyDescent="0.2">
      <c r="A2896" s="5" t="str">
        <f t="shared" si="45"/>
        <v/>
      </c>
    </row>
    <row r="2897" spans="1:1" x14ac:dyDescent="0.2">
      <c r="A2897" s="5" t="str">
        <f t="shared" si="45"/>
        <v/>
      </c>
    </row>
    <row r="2898" spans="1:1" x14ac:dyDescent="0.2">
      <c r="A2898" s="5" t="str">
        <f t="shared" si="45"/>
        <v/>
      </c>
    </row>
    <row r="2899" spans="1:1" x14ac:dyDescent="0.2">
      <c r="A2899" s="5" t="str">
        <f t="shared" si="45"/>
        <v/>
      </c>
    </row>
    <row r="2900" spans="1:1" x14ac:dyDescent="0.2">
      <c r="A2900" s="5" t="str">
        <f t="shared" si="45"/>
        <v/>
      </c>
    </row>
    <row r="2901" spans="1:1" x14ac:dyDescent="0.2">
      <c r="A2901" s="5" t="str">
        <f t="shared" si="45"/>
        <v/>
      </c>
    </row>
    <row r="2902" spans="1:1" x14ac:dyDescent="0.2">
      <c r="A2902" s="5" t="str">
        <f t="shared" si="45"/>
        <v/>
      </c>
    </row>
    <row r="2903" spans="1:1" x14ac:dyDescent="0.2">
      <c r="A2903" s="5" t="str">
        <f t="shared" si="45"/>
        <v/>
      </c>
    </row>
    <row r="2904" spans="1:1" x14ac:dyDescent="0.2">
      <c r="A2904" s="5" t="str">
        <f t="shared" si="45"/>
        <v/>
      </c>
    </row>
    <row r="2905" spans="1:1" x14ac:dyDescent="0.2">
      <c r="A2905" s="5" t="str">
        <f t="shared" si="45"/>
        <v/>
      </c>
    </row>
    <row r="2906" spans="1:1" x14ac:dyDescent="0.2">
      <c r="A2906" s="5" t="str">
        <f t="shared" si="45"/>
        <v/>
      </c>
    </row>
    <row r="2907" spans="1:1" x14ac:dyDescent="0.2">
      <c r="A2907" s="5" t="str">
        <f t="shared" si="45"/>
        <v/>
      </c>
    </row>
    <row r="2908" spans="1:1" x14ac:dyDescent="0.2">
      <c r="A2908" s="5" t="str">
        <f t="shared" si="45"/>
        <v/>
      </c>
    </row>
    <row r="2909" spans="1:1" x14ac:dyDescent="0.2">
      <c r="A2909" s="5" t="str">
        <f t="shared" si="45"/>
        <v/>
      </c>
    </row>
    <row r="2910" spans="1:1" x14ac:dyDescent="0.2">
      <c r="A2910" s="5" t="str">
        <f t="shared" si="45"/>
        <v/>
      </c>
    </row>
    <row r="2911" spans="1:1" x14ac:dyDescent="0.2">
      <c r="A2911" s="5" t="str">
        <f t="shared" si="45"/>
        <v/>
      </c>
    </row>
    <row r="2912" spans="1:1" x14ac:dyDescent="0.2">
      <c r="A2912" s="5" t="str">
        <f t="shared" si="45"/>
        <v/>
      </c>
    </row>
    <row r="2913" spans="1:1" x14ac:dyDescent="0.2">
      <c r="A2913" s="5" t="str">
        <f t="shared" si="45"/>
        <v/>
      </c>
    </row>
    <row r="2914" spans="1:1" x14ac:dyDescent="0.2">
      <c r="A2914" s="5" t="str">
        <f t="shared" si="45"/>
        <v/>
      </c>
    </row>
    <row r="2915" spans="1:1" x14ac:dyDescent="0.2">
      <c r="A2915" s="5" t="str">
        <f t="shared" si="45"/>
        <v/>
      </c>
    </row>
    <row r="2916" spans="1:1" x14ac:dyDescent="0.2">
      <c r="A2916" s="5" t="str">
        <f t="shared" si="45"/>
        <v/>
      </c>
    </row>
    <row r="2917" spans="1:1" x14ac:dyDescent="0.2">
      <c r="A2917" s="5" t="str">
        <f t="shared" si="45"/>
        <v/>
      </c>
    </row>
    <row r="2918" spans="1:1" x14ac:dyDescent="0.2">
      <c r="A2918" s="5" t="str">
        <f t="shared" si="45"/>
        <v/>
      </c>
    </row>
    <row r="2919" spans="1:1" x14ac:dyDescent="0.2">
      <c r="A2919" s="5" t="str">
        <f t="shared" si="45"/>
        <v/>
      </c>
    </row>
    <row r="2920" spans="1:1" x14ac:dyDescent="0.2">
      <c r="A2920" s="5" t="str">
        <f t="shared" si="45"/>
        <v/>
      </c>
    </row>
    <row r="2921" spans="1:1" x14ac:dyDescent="0.2">
      <c r="A2921" s="5" t="str">
        <f t="shared" si="45"/>
        <v/>
      </c>
    </row>
    <row r="2922" spans="1:1" x14ac:dyDescent="0.2">
      <c r="A2922" s="5" t="str">
        <f t="shared" si="45"/>
        <v/>
      </c>
    </row>
    <row r="2923" spans="1:1" x14ac:dyDescent="0.2">
      <c r="A2923" s="5" t="str">
        <f t="shared" si="45"/>
        <v/>
      </c>
    </row>
    <row r="2924" spans="1:1" x14ac:dyDescent="0.2">
      <c r="A2924" s="5" t="str">
        <f t="shared" si="45"/>
        <v/>
      </c>
    </row>
    <row r="2925" spans="1:1" x14ac:dyDescent="0.2">
      <c r="A2925" s="5" t="str">
        <f t="shared" si="45"/>
        <v/>
      </c>
    </row>
    <row r="2926" spans="1:1" x14ac:dyDescent="0.2">
      <c r="A2926" s="5" t="str">
        <f t="shared" si="45"/>
        <v/>
      </c>
    </row>
    <row r="2927" spans="1:1" x14ac:dyDescent="0.2">
      <c r="A2927" s="5" t="str">
        <f t="shared" si="45"/>
        <v/>
      </c>
    </row>
    <row r="2928" spans="1:1" x14ac:dyDescent="0.2">
      <c r="A2928" s="5" t="str">
        <f t="shared" si="45"/>
        <v/>
      </c>
    </row>
    <row r="2929" spans="1:1" x14ac:dyDescent="0.2">
      <c r="A2929" s="5" t="str">
        <f t="shared" si="45"/>
        <v/>
      </c>
    </row>
    <row r="2930" spans="1:1" x14ac:dyDescent="0.2">
      <c r="A2930" s="5" t="str">
        <f t="shared" si="45"/>
        <v/>
      </c>
    </row>
    <row r="2931" spans="1:1" x14ac:dyDescent="0.2">
      <c r="A2931" s="5" t="str">
        <f t="shared" si="45"/>
        <v/>
      </c>
    </row>
    <row r="2932" spans="1:1" x14ac:dyDescent="0.2">
      <c r="A2932" s="5" t="str">
        <f t="shared" si="45"/>
        <v/>
      </c>
    </row>
    <row r="2933" spans="1:1" x14ac:dyDescent="0.2">
      <c r="A2933" s="5" t="str">
        <f t="shared" si="45"/>
        <v/>
      </c>
    </row>
    <row r="2934" spans="1:1" x14ac:dyDescent="0.2">
      <c r="A2934" s="5" t="str">
        <f t="shared" si="45"/>
        <v/>
      </c>
    </row>
    <row r="2935" spans="1:1" x14ac:dyDescent="0.2">
      <c r="A2935" s="5" t="str">
        <f t="shared" si="45"/>
        <v/>
      </c>
    </row>
    <row r="2936" spans="1:1" x14ac:dyDescent="0.2">
      <c r="A2936" s="5" t="str">
        <f t="shared" si="45"/>
        <v/>
      </c>
    </row>
    <row r="2937" spans="1:1" x14ac:dyDescent="0.2">
      <c r="A2937" s="5" t="str">
        <f t="shared" si="45"/>
        <v/>
      </c>
    </row>
    <row r="2938" spans="1:1" x14ac:dyDescent="0.2">
      <c r="A2938" s="5" t="str">
        <f t="shared" si="45"/>
        <v/>
      </c>
    </row>
    <row r="2939" spans="1:1" x14ac:dyDescent="0.2">
      <c r="A2939" s="5" t="str">
        <f t="shared" si="45"/>
        <v/>
      </c>
    </row>
    <row r="2940" spans="1:1" x14ac:dyDescent="0.2">
      <c r="A2940" s="5" t="str">
        <f t="shared" si="45"/>
        <v/>
      </c>
    </row>
    <row r="2941" spans="1:1" x14ac:dyDescent="0.2">
      <c r="A2941" s="5" t="str">
        <f t="shared" si="45"/>
        <v/>
      </c>
    </row>
    <row r="2942" spans="1:1" x14ac:dyDescent="0.2">
      <c r="A2942" s="5" t="str">
        <f t="shared" si="45"/>
        <v/>
      </c>
    </row>
    <row r="2943" spans="1:1" x14ac:dyDescent="0.2">
      <c r="A2943" s="5" t="str">
        <f t="shared" si="45"/>
        <v/>
      </c>
    </row>
    <row r="2944" spans="1:1" x14ac:dyDescent="0.2">
      <c r="A2944" s="5" t="str">
        <f t="shared" si="45"/>
        <v/>
      </c>
    </row>
    <row r="2945" spans="1:1" x14ac:dyDescent="0.2">
      <c r="A2945" s="5" t="str">
        <f t="shared" si="45"/>
        <v/>
      </c>
    </row>
    <row r="2946" spans="1:1" x14ac:dyDescent="0.2">
      <c r="A2946" s="5" t="str">
        <f t="shared" si="45"/>
        <v/>
      </c>
    </row>
    <row r="2947" spans="1:1" x14ac:dyDescent="0.2">
      <c r="A2947" s="5" t="str">
        <f t="shared" si="45"/>
        <v/>
      </c>
    </row>
    <row r="2948" spans="1:1" x14ac:dyDescent="0.2">
      <c r="A2948" s="5" t="str">
        <f t="shared" ref="A2948:A2994" si="46">IF(AND(B2947&lt;&gt;"",B2948=""),$A$2&amp;"---&gt;","")</f>
        <v/>
      </c>
    </row>
    <row r="2949" spans="1:1" x14ac:dyDescent="0.2">
      <c r="A2949" s="5" t="str">
        <f t="shared" si="46"/>
        <v/>
      </c>
    </row>
    <row r="2950" spans="1:1" x14ac:dyDescent="0.2">
      <c r="A2950" s="5" t="str">
        <f t="shared" si="46"/>
        <v/>
      </c>
    </row>
    <row r="2951" spans="1:1" x14ac:dyDescent="0.2">
      <c r="A2951" s="5" t="str">
        <f t="shared" si="46"/>
        <v/>
      </c>
    </row>
    <row r="2952" spans="1:1" x14ac:dyDescent="0.2">
      <c r="A2952" s="5" t="str">
        <f t="shared" si="46"/>
        <v/>
      </c>
    </row>
    <row r="2953" spans="1:1" x14ac:dyDescent="0.2">
      <c r="A2953" s="5" t="str">
        <f t="shared" si="46"/>
        <v/>
      </c>
    </row>
    <row r="2954" spans="1:1" x14ac:dyDescent="0.2">
      <c r="A2954" s="5" t="str">
        <f t="shared" si="46"/>
        <v/>
      </c>
    </row>
    <row r="2955" spans="1:1" x14ac:dyDescent="0.2">
      <c r="A2955" s="5" t="str">
        <f t="shared" si="46"/>
        <v/>
      </c>
    </row>
    <row r="2956" spans="1:1" x14ac:dyDescent="0.2">
      <c r="A2956" s="5" t="str">
        <f t="shared" si="46"/>
        <v/>
      </c>
    </row>
    <row r="2957" spans="1:1" x14ac:dyDescent="0.2">
      <c r="A2957" s="5" t="str">
        <f t="shared" si="46"/>
        <v/>
      </c>
    </row>
    <row r="2958" spans="1:1" x14ac:dyDescent="0.2">
      <c r="A2958" s="5" t="str">
        <f t="shared" si="46"/>
        <v/>
      </c>
    </row>
    <row r="2959" spans="1:1" x14ac:dyDescent="0.2">
      <c r="A2959" s="5" t="str">
        <f t="shared" si="46"/>
        <v/>
      </c>
    </row>
    <row r="2960" spans="1:1" x14ac:dyDescent="0.2">
      <c r="A2960" s="5" t="str">
        <f t="shared" si="46"/>
        <v/>
      </c>
    </row>
    <row r="2961" spans="1:1" x14ac:dyDescent="0.2">
      <c r="A2961" s="5" t="str">
        <f t="shared" si="46"/>
        <v/>
      </c>
    </row>
    <row r="2962" spans="1:1" x14ac:dyDescent="0.2">
      <c r="A2962" s="5" t="str">
        <f t="shared" si="46"/>
        <v/>
      </c>
    </row>
    <row r="2963" spans="1:1" x14ac:dyDescent="0.2">
      <c r="A2963" s="5" t="str">
        <f t="shared" si="46"/>
        <v/>
      </c>
    </row>
    <row r="2964" spans="1:1" x14ac:dyDescent="0.2">
      <c r="A2964" s="5" t="str">
        <f t="shared" si="46"/>
        <v/>
      </c>
    </row>
    <row r="2965" spans="1:1" x14ac:dyDescent="0.2">
      <c r="A2965" s="5" t="str">
        <f t="shared" si="46"/>
        <v/>
      </c>
    </row>
    <row r="2966" spans="1:1" x14ac:dyDescent="0.2">
      <c r="A2966" s="5" t="str">
        <f t="shared" si="46"/>
        <v/>
      </c>
    </row>
    <row r="2967" spans="1:1" x14ac:dyDescent="0.2">
      <c r="A2967" s="5" t="str">
        <f t="shared" si="46"/>
        <v/>
      </c>
    </row>
    <row r="2968" spans="1:1" x14ac:dyDescent="0.2">
      <c r="A2968" s="5" t="str">
        <f t="shared" si="46"/>
        <v/>
      </c>
    </row>
    <row r="2969" spans="1:1" x14ac:dyDescent="0.2">
      <c r="A2969" s="5" t="str">
        <f t="shared" si="46"/>
        <v/>
      </c>
    </row>
    <row r="2970" spans="1:1" x14ac:dyDescent="0.2">
      <c r="A2970" s="5" t="str">
        <f t="shared" si="46"/>
        <v/>
      </c>
    </row>
    <row r="2971" spans="1:1" x14ac:dyDescent="0.2">
      <c r="A2971" s="5" t="str">
        <f t="shared" si="46"/>
        <v/>
      </c>
    </row>
    <row r="2972" spans="1:1" x14ac:dyDescent="0.2">
      <c r="A2972" s="5" t="str">
        <f t="shared" si="46"/>
        <v/>
      </c>
    </row>
    <row r="2973" spans="1:1" x14ac:dyDescent="0.2">
      <c r="A2973" s="5" t="str">
        <f t="shared" si="46"/>
        <v/>
      </c>
    </row>
    <row r="2974" spans="1:1" x14ac:dyDescent="0.2">
      <c r="A2974" s="5" t="str">
        <f t="shared" si="46"/>
        <v/>
      </c>
    </row>
    <row r="2975" spans="1:1" x14ac:dyDescent="0.2">
      <c r="A2975" s="5" t="str">
        <f t="shared" si="46"/>
        <v/>
      </c>
    </row>
    <row r="2976" spans="1:1" x14ac:dyDescent="0.2">
      <c r="A2976" s="5" t="str">
        <f t="shared" si="46"/>
        <v/>
      </c>
    </row>
    <row r="2977" spans="1:1" x14ac:dyDescent="0.2">
      <c r="A2977" s="5" t="str">
        <f t="shared" si="46"/>
        <v/>
      </c>
    </row>
    <row r="2978" spans="1:1" x14ac:dyDescent="0.2">
      <c r="A2978" s="5" t="str">
        <f t="shared" si="46"/>
        <v/>
      </c>
    </row>
    <row r="2979" spans="1:1" x14ac:dyDescent="0.2">
      <c r="A2979" s="5" t="str">
        <f t="shared" si="46"/>
        <v/>
      </c>
    </row>
    <row r="2980" spans="1:1" x14ac:dyDescent="0.2">
      <c r="A2980" s="5" t="str">
        <f t="shared" si="46"/>
        <v/>
      </c>
    </row>
    <row r="2981" spans="1:1" x14ac:dyDescent="0.2">
      <c r="A2981" s="5" t="str">
        <f t="shared" si="46"/>
        <v/>
      </c>
    </row>
    <row r="2982" spans="1:1" x14ac:dyDescent="0.2">
      <c r="A2982" s="5" t="str">
        <f t="shared" si="46"/>
        <v/>
      </c>
    </row>
    <row r="2983" spans="1:1" x14ac:dyDescent="0.2">
      <c r="A2983" s="5" t="str">
        <f t="shared" si="46"/>
        <v/>
      </c>
    </row>
    <row r="2984" spans="1:1" x14ac:dyDescent="0.2">
      <c r="A2984" s="5" t="str">
        <f t="shared" si="46"/>
        <v/>
      </c>
    </row>
    <row r="2985" spans="1:1" x14ac:dyDescent="0.2">
      <c r="A2985" s="5" t="str">
        <f t="shared" si="46"/>
        <v/>
      </c>
    </row>
    <row r="2986" spans="1:1" x14ac:dyDescent="0.2">
      <c r="A2986" s="5" t="str">
        <f t="shared" si="46"/>
        <v/>
      </c>
    </row>
    <row r="2987" spans="1:1" x14ac:dyDescent="0.2">
      <c r="A2987" s="5" t="str">
        <f t="shared" si="46"/>
        <v/>
      </c>
    </row>
    <row r="2988" spans="1:1" x14ac:dyDescent="0.2">
      <c r="A2988" s="5" t="str">
        <f t="shared" si="46"/>
        <v/>
      </c>
    </row>
    <row r="2989" spans="1:1" x14ac:dyDescent="0.2">
      <c r="A2989" s="5" t="str">
        <f t="shared" si="46"/>
        <v/>
      </c>
    </row>
    <row r="2990" spans="1:1" x14ac:dyDescent="0.2">
      <c r="A2990" s="5" t="str">
        <f t="shared" si="46"/>
        <v/>
      </c>
    </row>
    <row r="2991" spans="1:1" x14ac:dyDescent="0.2">
      <c r="A2991" s="5" t="str">
        <f t="shared" si="46"/>
        <v/>
      </c>
    </row>
    <row r="2992" spans="1:1" x14ac:dyDescent="0.2">
      <c r="A2992" s="5" t="str">
        <f t="shared" si="46"/>
        <v/>
      </c>
    </row>
    <row r="2993" spans="1:1" x14ac:dyDescent="0.2">
      <c r="A2993" s="5" t="str">
        <f t="shared" si="46"/>
        <v/>
      </c>
    </row>
    <row r="2994" spans="1:1" x14ac:dyDescent="0.2">
      <c r="A2994" s="5" t="str">
        <f t="shared" si="46"/>
        <v/>
      </c>
    </row>
  </sheetData>
  <phoneticPr fontId="6" type="noConversion"/>
  <conditionalFormatting sqref="I3:I199">
    <cfRule type="containsText" dxfId="77" priority="5" operator="containsText" text="very high risk">
      <formula>NOT(ISERROR(SEARCH("very high risk",I3)))</formula>
    </cfRule>
    <cfRule type="containsText" dxfId="76" priority="6" operator="containsText" text="High risk">
      <formula>NOT(ISERROR(SEARCH("High risk",I3)))</formula>
    </cfRule>
    <cfRule type="containsText" dxfId="75" priority="7" operator="containsText" text="medium risk">
      <formula>NOT(ISERROR(SEARCH("medium risk",I3)))</formula>
    </cfRule>
    <cfRule type="containsText" dxfId="74" priority="8" operator="containsText" text="Normal">
      <formula>NOT(ISERROR(SEARCH("Normal",I3)))</formula>
    </cfRule>
  </conditionalFormatting>
  <conditionalFormatting sqref="J3:J199">
    <cfRule type="containsText" dxfId="73" priority="4" operator="containsText" text="NO">
      <formula>NOT(ISERROR(SEARCH("NO",J3)))</formula>
    </cfRule>
  </conditionalFormatting>
  <conditionalFormatting sqref="K3:K199">
    <cfRule type="containsText" dxfId="72" priority="3" operator="containsText" text="Positive">
      <formula>NOT(ISERROR(SEARCH("Positive",K3)))</formula>
    </cfRule>
  </conditionalFormatting>
  <conditionalFormatting sqref="L3:L199">
    <cfRule type="containsText" dxfId="71" priority="2" operator="containsText" text="Yes">
      <formula>NOT(ISERROR(SEARCH("Yes",L3)))</formula>
    </cfRule>
  </conditionalFormatting>
  <dataValidations count="5">
    <dataValidation type="list" allowBlank="1" showInputMessage="1" showErrorMessage="1" sqref="C3:C199" xr:uid="{A4963077-A4AE-4C49-A3B5-D52E04F0F447}">
      <formula1>Employee</formula1>
    </dataValidation>
    <dataValidation type="list" allowBlank="1" showInputMessage="1" showErrorMessage="1" sqref="L3:L199 J3:J199" xr:uid="{34C37514-6C02-471D-8574-41043A8342C5}">
      <formula1>"Yes, No"</formula1>
    </dataValidation>
    <dataValidation type="list" allowBlank="1" showInputMessage="1" showErrorMessage="1" sqref="K3:K199" xr:uid="{5A12DF21-2A03-4D4B-A933-E8CBB7ADDE0D}">
      <formula1>"Negative, Positive"</formula1>
    </dataValidation>
    <dataValidation type="list" allowBlank="1" showInputMessage="1" showErrorMessage="1" sqref="M3:M199" xr:uid="{7E96E702-E436-4D8C-A003-3FAD9BBAD4EC}">
      <formula1>Symptom</formula1>
    </dataValidation>
    <dataValidation type="date" allowBlank="1" showInputMessage="1" showErrorMessage="1" sqref="B3:B199" xr:uid="{CA3449E6-EC47-4C02-8968-8008743C5402}">
      <formula1>1</formula1>
      <formula2>69763</formula2>
    </dataValidation>
  </dataValidations>
  <pageMargins left="0.7" right="0.7" top="0.75" bottom="0.75" header="0.3" footer="0.3"/>
  <pageSetup paperSize="9" orientation="portrait" r:id="rId1"/>
  <customProperties>
    <customPr name="EpmWorksheetKeyString_GUID" r:id="rId2"/>
  </customProperties>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2C3F6-BB13-4614-8121-817994BD6F45}">
  <sheetPr codeName="Sheet5">
    <tabColor rgb="FF8A0000"/>
  </sheetPr>
  <dimension ref="A1:AG2990"/>
  <sheetViews>
    <sheetView showGridLines="0" topLeftCell="K1" zoomScaleNormal="100" workbookViewId="0">
      <pane ySplit="2" topLeftCell="A30" activePane="bottomLeft" state="frozen"/>
      <selection pane="bottomLeft" activeCell="C3" sqref="C3"/>
    </sheetView>
  </sheetViews>
  <sheetFormatPr defaultColWidth="0" defaultRowHeight="12.75" x14ac:dyDescent="0.2"/>
  <cols>
    <col min="1" max="1" width="15.7109375" style="49" customWidth="1"/>
    <col min="2" max="2" width="15.7109375" customWidth="1"/>
    <col min="3" max="7" width="20.7109375" customWidth="1"/>
    <col min="8" max="9" width="20.7109375" hidden="1" customWidth="1"/>
    <col min="10" max="10" width="20.7109375" customWidth="1"/>
    <col min="11" max="17" width="16.7109375" customWidth="1"/>
    <col min="18" max="18" width="16.7109375" hidden="1" customWidth="1"/>
    <col min="19" max="21" width="16.7109375" customWidth="1"/>
    <col min="22" max="23" width="16.7109375" hidden="1" customWidth="1"/>
    <col min="24" max="24" width="0.5703125" customWidth="1"/>
    <col min="25" max="25" width="0.42578125" customWidth="1"/>
    <col min="26" max="33" width="0" hidden="1" customWidth="1"/>
    <col min="34" max="16384" width="9.140625" hidden="1"/>
  </cols>
  <sheetData>
    <row r="1" spans="1:21" x14ac:dyDescent="0.2">
      <c r="A1" s="5"/>
    </row>
    <row r="2" spans="1:21" ht="51" customHeight="1" thickBot="1" x14ac:dyDescent="0.25">
      <c r="A2" s="47" t="s">
        <v>66</v>
      </c>
      <c r="B2" s="48" t="s">
        <v>22</v>
      </c>
      <c r="C2" s="48" t="s">
        <v>27</v>
      </c>
      <c r="D2" s="48" t="s">
        <v>42</v>
      </c>
      <c r="E2" s="48" t="s">
        <v>43</v>
      </c>
      <c r="F2" s="48" t="s">
        <v>44</v>
      </c>
      <c r="G2" s="48" t="s">
        <v>18</v>
      </c>
      <c r="H2" s="48" t="s">
        <v>314</v>
      </c>
      <c r="I2" s="48" t="s">
        <v>315</v>
      </c>
      <c r="J2" s="48" t="s">
        <v>70</v>
      </c>
      <c r="K2" s="48" t="s">
        <v>72</v>
      </c>
      <c r="L2" s="48" t="s">
        <v>67</v>
      </c>
      <c r="M2" s="48" t="s">
        <v>68</v>
      </c>
      <c r="N2" s="48" t="s">
        <v>71</v>
      </c>
      <c r="O2" s="48" t="s">
        <v>288</v>
      </c>
      <c r="P2" s="48" t="s">
        <v>286</v>
      </c>
      <c r="Q2" s="67" t="s">
        <v>291</v>
      </c>
      <c r="R2" s="97" t="s">
        <v>325</v>
      </c>
      <c r="S2" s="66" t="s">
        <v>287</v>
      </c>
      <c r="T2" s="66" t="s">
        <v>289</v>
      </c>
      <c r="U2" s="66" t="s">
        <v>69</v>
      </c>
    </row>
    <row r="3" spans="1:21" x14ac:dyDescent="0.2">
      <c r="A3" s="49" t="str">
        <f>IF(AND(B2&lt;&gt;"",B3=""),$A$2&amp;"---&gt;","")</f>
        <v/>
      </c>
      <c r="B3" s="37">
        <v>43961</v>
      </c>
      <c r="C3" s="40" t="s">
        <v>28</v>
      </c>
      <c r="D3" s="50" t="str">
        <f>IFERROR(IF(COV_CASE[[#This Row],[Employee Name]]="","",VLOOKUP(COV_CASE[[#This Row],[Employee Name]],Database!B:F,2,0)),"")</f>
        <v>EMP-00001</v>
      </c>
      <c r="E3" s="71">
        <f>IFERROR(IF(COV_CASE[[#This Row],[Employee Name]]="","",VLOOKUP(COV_CASE[[#This Row],[Employee Name]],Database!B:F,3,0)),"")</f>
        <v>32</v>
      </c>
      <c r="F3" s="50" t="str">
        <f>IFERROR(IF(COV_CASE[[#This Row],[Employee Name]]="","",VLOOKUP(COV_CASE[[#This Row],[Employee Name]],Database!B:F,4,0)),"")</f>
        <v>M</v>
      </c>
      <c r="G3" s="50" t="str">
        <f>IFERROR(IF(COV_CASE[[#This Row],[Employee Name]]="","",VLOOKUP(COV_CASE[[#This Row],[Employee Name]],Database!B:F,5,0)),"")</f>
        <v>QA</v>
      </c>
      <c r="H3" s="92">
        <f>IF(COV_CASE[[#This Row],[Department]]="","",COUNTIF(Database!F:F,COV_CASE[[#This Row],[Department]]))</f>
        <v>13</v>
      </c>
      <c r="I3" s="94">
        <f>IFERROR(1/COV_CASE[[#This Row],[Department Manpower]],"")</f>
        <v>7.6923076923076927E-2</v>
      </c>
      <c r="J3" s="20" t="s">
        <v>79</v>
      </c>
      <c r="K3" s="20" t="s">
        <v>80</v>
      </c>
      <c r="L3" s="37">
        <v>43959</v>
      </c>
      <c r="M3" s="38">
        <v>43961</v>
      </c>
      <c r="N3" s="39">
        <v>14</v>
      </c>
      <c r="O3" s="51">
        <f>IF(COV_CASE[[#This Row],[Isolation Period (In Days)]]="","",COV_CASE[[#This Row],[Isolation Date]]+COV_CASE[[#This Row],[Isolation Period (In Days)]])</f>
        <v>43975</v>
      </c>
      <c r="P3" s="69">
        <f ca="1">IFERROR(IF(COV_CASE[[#This Row],[Isolation Ending Date]]="","",IF(TODAY()&gt;COV_CASE[[#This Row],[Isolation Ending Date]],0,COV_CASE[[#This Row],[Isolation Ending Date]]-TODAY())),"")</f>
        <v>0</v>
      </c>
      <c r="Q3" s="68">
        <f ca="1">IF(COV_CASE[[#This Row],[Remain Days]]="","",(COV_CASE[[#This Row],[Isolation Period (In Days)]]-COV_CASE[[#This Row],[Remain Days]])/COV_CASE[[#This Row],[Isolation Period (In Days)]])</f>
        <v>1</v>
      </c>
      <c r="R3" s="39" t="str">
        <f ca="1">IF(COV_CASE[[#This Row],[Isolating Completion%]]=1,"",1)</f>
        <v/>
      </c>
      <c r="S3" s="26" t="s">
        <v>281</v>
      </c>
      <c r="T3" s="26" t="s">
        <v>290</v>
      </c>
      <c r="U3" s="38">
        <v>43978</v>
      </c>
    </row>
    <row r="4" spans="1:21" x14ac:dyDescent="0.2">
      <c r="A4" s="49" t="str">
        <f t="shared" ref="A4:A67" si="0">IF(AND(B3&lt;&gt;"",B4=""),$A$2&amp;"---&gt;","")</f>
        <v/>
      </c>
      <c r="B4" s="37">
        <v>44050</v>
      </c>
      <c r="C4" s="40" t="s">
        <v>124</v>
      </c>
      <c r="D4" s="55" t="str">
        <f>IFERROR(IF(COV_CASE[[#This Row],[Employee Name]]="","",VLOOKUP(COV_CASE[[#This Row],[Employee Name]],Database!B:F,2,0)),"")</f>
        <v>EMP-00057</v>
      </c>
      <c r="E4" s="72">
        <f>IFERROR(IF(COV_CASE[[#This Row],[Employee Name]]="","",VLOOKUP(COV_CASE[[#This Row],[Employee Name]],Database!B:F,3,0)),"")</f>
        <v>37</v>
      </c>
      <c r="F4" s="55" t="str">
        <f>IFERROR(IF(COV_CASE[[#This Row],[Employee Name]]="","",VLOOKUP(COV_CASE[[#This Row],[Employee Name]],Database!B:F,4,0)),"")</f>
        <v>M</v>
      </c>
      <c r="G4" s="55" t="str">
        <f>IFERROR(IF(COV_CASE[[#This Row],[Employee Name]]="","",VLOOKUP(COV_CASE[[#This Row],[Employee Name]],Database!B:F,5,0)),"")</f>
        <v>Purchasing</v>
      </c>
      <c r="H4" s="93">
        <f>IF(COV_CASE[[#This Row],[Department]]="","",COUNTIF(Database!F:F,COV_CASE[[#This Row],[Department]]))</f>
        <v>15</v>
      </c>
      <c r="I4" s="95">
        <f>IFERROR(1/COV_CASE[[#This Row],[Department Manpower]],"")</f>
        <v>6.6666666666666666E-2</v>
      </c>
      <c r="J4" s="61" t="s">
        <v>79</v>
      </c>
      <c r="K4" s="61" t="s">
        <v>80</v>
      </c>
      <c r="L4" s="37">
        <v>44049</v>
      </c>
      <c r="M4" s="62">
        <v>44050</v>
      </c>
      <c r="N4" s="63">
        <v>7</v>
      </c>
      <c r="O4" s="64">
        <f>IF(COV_CASE[[#This Row],[Isolation Period (In Days)]]="","",COV_CASE[[#This Row],[Isolation Date]]+COV_CASE[[#This Row],[Isolation Period (In Days)]])</f>
        <v>44057</v>
      </c>
      <c r="P4" s="70">
        <f ca="1">IFERROR(IF(COV_CASE[[#This Row],[Isolation Ending Date]]="","",IF(TODAY()&gt;COV_CASE[[#This Row],[Isolation Ending Date]],0,COV_CASE[[#This Row],[Isolation Ending Date]]-TODAY())),"")</f>
        <v>0</v>
      </c>
      <c r="Q4" s="65">
        <f ca="1">IF(COV_CASE[[#This Row],[Remain Days]]="","",(COV_CASE[[#This Row],[Isolation Period (In Days)]]-COV_CASE[[#This Row],[Remain Days]])/COV_CASE[[#This Row],[Isolation Period (In Days)]])</f>
        <v>1</v>
      </c>
      <c r="R4" s="63" t="str">
        <f ca="1">IF(COV_CASE[[#This Row],[Isolating Completion%]]=1,"",1)</f>
        <v/>
      </c>
      <c r="S4" s="62" t="s">
        <v>281</v>
      </c>
      <c r="T4" s="58" t="s">
        <v>290</v>
      </c>
      <c r="U4" s="62">
        <v>44060</v>
      </c>
    </row>
    <row r="5" spans="1:21" x14ac:dyDescent="0.2">
      <c r="A5" s="49" t="str">
        <f t="shared" si="0"/>
        <v/>
      </c>
      <c r="B5" s="37">
        <v>43922</v>
      </c>
      <c r="C5" s="40" t="s">
        <v>41</v>
      </c>
      <c r="D5" s="55" t="str">
        <f>IFERROR(IF(COV_CASE[[#This Row],[Employee Name]]="","",VLOOKUP(COV_CASE[[#This Row],[Employee Name]],Database!B:F,2,0)),"")</f>
        <v>EMP-00014</v>
      </c>
      <c r="E5" s="72">
        <f>IFERROR(IF(COV_CASE[[#This Row],[Employee Name]]="","",VLOOKUP(COV_CASE[[#This Row],[Employee Name]],Database!B:F,3,0)),"")</f>
        <v>28</v>
      </c>
      <c r="F5" s="55" t="str">
        <f>IFERROR(IF(COV_CASE[[#This Row],[Employee Name]]="","",VLOOKUP(COV_CASE[[#This Row],[Employee Name]],Database!B:F,4,0)),"")</f>
        <v>M</v>
      </c>
      <c r="G5" s="55" t="str">
        <f>IFERROR(IF(COV_CASE[[#This Row],[Employee Name]]="","",VLOOKUP(COV_CASE[[#This Row],[Employee Name]],Database!B:F,5,0)),"")</f>
        <v>HR</v>
      </c>
      <c r="H5" s="93">
        <f>IF(COV_CASE[[#This Row],[Department]]="","",COUNTIF(Database!F:F,COV_CASE[[#This Row],[Department]]))</f>
        <v>16</v>
      </c>
      <c r="I5" s="95">
        <f>IFERROR(1/COV_CASE[[#This Row],[Department Manpower]],"")</f>
        <v>6.25E-2</v>
      </c>
      <c r="J5" s="61" t="s">
        <v>79</v>
      </c>
      <c r="K5" s="61" t="s">
        <v>80</v>
      </c>
      <c r="L5" s="37">
        <v>43921</v>
      </c>
      <c r="M5" s="62">
        <v>43922</v>
      </c>
      <c r="N5" s="63">
        <v>14</v>
      </c>
      <c r="O5" s="64">
        <f>IF(COV_CASE[[#This Row],[Isolation Period (In Days)]]="","",COV_CASE[[#This Row],[Isolation Date]]+COV_CASE[[#This Row],[Isolation Period (In Days)]])</f>
        <v>43936</v>
      </c>
      <c r="P5" s="70">
        <f ca="1">IFERROR(IF(COV_CASE[[#This Row],[Isolation Ending Date]]="","",IF(TODAY()&gt;COV_CASE[[#This Row],[Isolation Ending Date]],0,COV_CASE[[#This Row],[Isolation Ending Date]]-TODAY())),"")</f>
        <v>0</v>
      </c>
      <c r="Q5" s="65">
        <f ca="1">IF(COV_CASE[[#This Row],[Remain Days]]="","",(COV_CASE[[#This Row],[Isolation Period (In Days)]]-COV_CASE[[#This Row],[Remain Days]])/COV_CASE[[#This Row],[Isolation Period (In Days)]])</f>
        <v>1</v>
      </c>
      <c r="R5" s="63" t="str">
        <f ca="1">IF(COV_CASE[[#This Row],[Isolating Completion%]]=1,"",1)</f>
        <v/>
      </c>
      <c r="S5" s="62" t="s">
        <v>281</v>
      </c>
      <c r="T5" s="58" t="s">
        <v>290</v>
      </c>
      <c r="U5" s="62">
        <v>43939</v>
      </c>
    </row>
    <row r="6" spans="1:21" x14ac:dyDescent="0.2">
      <c r="A6" s="49" t="str">
        <f t="shared" si="0"/>
        <v/>
      </c>
      <c r="B6" s="37">
        <v>43900</v>
      </c>
      <c r="C6" s="40" t="s">
        <v>107</v>
      </c>
      <c r="D6" s="55" t="str">
        <f>IFERROR(IF(COV_CASE[[#This Row],[Employee Name]]="","",VLOOKUP(COV_CASE[[#This Row],[Employee Name]],Database!B:F,2,0)),"")</f>
        <v>EMP-00040</v>
      </c>
      <c r="E6" s="72">
        <f>IFERROR(IF(COV_CASE[[#This Row],[Employee Name]]="","",VLOOKUP(COV_CASE[[#This Row],[Employee Name]],Database!B:F,3,0)),"")</f>
        <v>30</v>
      </c>
      <c r="F6" s="55" t="str">
        <f>IFERROR(IF(COV_CASE[[#This Row],[Employee Name]]="","",VLOOKUP(COV_CASE[[#This Row],[Employee Name]],Database!B:F,4,0)),"")</f>
        <v>M</v>
      </c>
      <c r="G6" s="55" t="str">
        <f>IFERROR(IF(COV_CASE[[#This Row],[Employee Name]]="","",VLOOKUP(COV_CASE[[#This Row],[Employee Name]],Database!B:F,5,0)),"")</f>
        <v>QA</v>
      </c>
      <c r="H6" s="93">
        <f>IF(COV_CASE[[#This Row],[Department]]="","",COUNTIF(Database!F:F,COV_CASE[[#This Row],[Department]]))</f>
        <v>13</v>
      </c>
      <c r="I6" s="95">
        <f>IFERROR(1/COV_CASE[[#This Row],[Department Manpower]],"")</f>
        <v>7.6923076923076927E-2</v>
      </c>
      <c r="J6" s="61" t="s">
        <v>79</v>
      </c>
      <c r="K6" s="61" t="s">
        <v>80</v>
      </c>
      <c r="L6" s="37">
        <v>43899</v>
      </c>
      <c r="M6" s="62">
        <v>43900</v>
      </c>
      <c r="N6" s="63">
        <v>14</v>
      </c>
      <c r="O6" s="64">
        <f>IF(COV_CASE[[#This Row],[Isolation Period (In Days)]]="","",COV_CASE[[#This Row],[Isolation Date]]+COV_CASE[[#This Row],[Isolation Period (In Days)]])</f>
        <v>43914</v>
      </c>
      <c r="P6" s="70">
        <f ca="1">IFERROR(IF(COV_CASE[[#This Row],[Isolation Ending Date]]="","",IF(TODAY()&gt;COV_CASE[[#This Row],[Isolation Ending Date]],0,COV_CASE[[#This Row],[Isolation Ending Date]]-TODAY())),"")</f>
        <v>0</v>
      </c>
      <c r="Q6" s="65">
        <f ca="1">IF(COV_CASE[[#This Row],[Remain Days]]="","",(COV_CASE[[#This Row],[Isolation Period (In Days)]]-COV_CASE[[#This Row],[Remain Days]])/COV_CASE[[#This Row],[Isolation Period (In Days)]])</f>
        <v>1</v>
      </c>
      <c r="R6" s="63" t="str">
        <f ca="1">IF(COV_CASE[[#This Row],[Isolating Completion%]]=1,"",1)</f>
        <v/>
      </c>
      <c r="S6" s="62" t="s">
        <v>281</v>
      </c>
      <c r="T6" s="58" t="s">
        <v>290</v>
      </c>
      <c r="U6" s="62">
        <v>43917</v>
      </c>
    </row>
    <row r="7" spans="1:21" x14ac:dyDescent="0.2">
      <c r="A7" s="49" t="str">
        <f t="shared" si="0"/>
        <v/>
      </c>
      <c r="B7" s="37">
        <v>43914</v>
      </c>
      <c r="C7" s="40" t="s">
        <v>157</v>
      </c>
      <c r="D7" s="55" t="str">
        <f>IFERROR(IF(COV_CASE[[#This Row],[Employee Name]]="","",VLOOKUP(COV_CASE[[#This Row],[Employee Name]],Database!B:F,2,0)),"")</f>
        <v>EMP-00090</v>
      </c>
      <c r="E7" s="72">
        <f>IFERROR(IF(COV_CASE[[#This Row],[Employee Name]]="","",VLOOKUP(COV_CASE[[#This Row],[Employee Name]],Database!B:F,3,0)),"")</f>
        <v>25</v>
      </c>
      <c r="F7" s="55" t="str">
        <f>IFERROR(IF(COV_CASE[[#This Row],[Employee Name]]="","",VLOOKUP(COV_CASE[[#This Row],[Employee Name]],Database!B:F,4,0)),"")</f>
        <v>M</v>
      </c>
      <c r="G7" s="55" t="str">
        <f>IFERROR(IF(COV_CASE[[#This Row],[Employee Name]]="","",VLOOKUP(COV_CASE[[#This Row],[Employee Name]],Database!B:F,5,0)),"")</f>
        <v>HR</v>
      </c>
      <c r="H7" s="93">
        <f>IF(COV_CASE[[#This Row],[Department]]="","",COUNTIF(Database!F:F,COV_CASE[[#This Row],[Department]]))</f>
        <v>16</v>
      </c>
      <c r="I7" s="95">
        <f>IFERROR(1/COV_CASE[[#This Row],[Department Manpower]],"")</f>
        <v>6.25E-2</v>
      </c>
      <c r="J7" s="61" t="s">
        <v>79</v>
      </c>
      <c r="K7" s="61" t="s">
        <v>80</v>
      </c>
      <c r="L7" s="37">
        <v>43913</v>
      </c>
      <c r="M7" s="62">
        <v>43914</v>
      </c>
      <c r="N7" s="63">
        <v>14</v>
      </c>
      <c r="O7" s="64">
        <f>IF(COV_CASE[[#This Row],[Isolation Period (In Days)]]="","",COV_CASE[[#This Row],[Isolation Date]]+COV_CASE[[#This Row],[Isolation Period (In Days)]])</f>
        <v>43928</v>
      </c>
      <c r="P7" s="70">
        <f ca="1">IFERROR(IF(COV_CASE[[#This Row],[Isolation Ending Date]]="","",IF(TODAY()&gt;COV_CASE[[#This Row],[Isolation Ending Date]],0,COV_CASE[[#This Row],[Isolation Ending Date]]-TODAY())),"")</f>
        <v>0</v>
      </c>
      <c r="Q7" s="65">
        <f ca="1">IF(COV_CASE[[#This Row],[Remain Days]]="","",(COV_CASE[[#This Row],[Isolation Period (In Days)]]-COV_CASE[[#This Row],[Remain Days]])/COV_CASE[[#This Row],[Isolation Period (In Days)]])</f>
        <v>1</v>
      </c>
      <c r="R7" s="63" t="str">
        <f ca="1">IF(COV_CASE[[#This Row],[Isolating Completion%]]=1,"",1)</f>
        <v/>
      </c>
      <c r="S7" s="62" t="s">
        <v>281</v>
      </c>
      <c r="T7" s="58" t="s">
        <v>290</v>
      </c>
      <c r="U7" s="62">
        <v>43931</v>
      </c>
    </row>
    <row r="8" spans="1:21" x14ac:dyDescent="0.2">
      <c r="A8" s="49" t="str">
        <f t="shared" si="0"/>
        <v/>
      </c>
      <c r="B8" s="37">
        <v>43930</v>
      </c>
      <c r="C8" s="40" t="s">
        <v>123</v>
      </c>
      <c r="D8" s="55" t="str">
        <f>IFERROR(IF(COV_CASE[[#This Row],[Employee Name]]="","",VLOOKUP(COV_CASE[[#This Row],[Employee Name]],Database!B:F,2,0)),"")</f>
        <v>EMP-00056</v>
      </c>
      <c r="E8" s="72">
        <f>IFERROR(IF(COV_CASE[[#This Row],[Employee Name]]="","",VLOOKUP(COV_CASE[[#This Row],[Employee Name]],Database!B:F,3,0)),"")</f>
        <v>36</v>
      </c>
      <c r="F8" s="55" t="str">
        <f>IFERROR(IF(COV_CASE[[#This Row],[Employee Name]]="","",VLOOKUP(COV_CASE[[#This Row],[Employee Name]],Database!B:F,4,0)),"")</f>
        <v>M</v>
      </c>
      <c r="G8" s="55" t="str">
        <f>IFERROR(IF(COV_CASE[[#This Row],[Employee Name]]="","",VLOOKUP(COV_CASE[[#This Row],[Employee Name]],Database!B:F,5,0)),"")</f>
        <v>Planning</v>
      </c>
      <c r="H8" s="93">
        <f>IF(COV_CASE[[#This Row],[Department]]="","",COUNTIF(Database!F:F,COV_CASE[[#This Row],[Department]]))</f>
        <v>13</v>
      </c>
      <c r="I8" s="95">
        <f>IFERROR(1/COV_CASE[[#This Row],[Department Manpower]],"")</f>
        <v>7.6923076923076927E-2</v>
      </c>
      <c r="J8" s="61" t="s">
        <v>79</v>
      </c>
      <c r="K8" s="61" t="s">
        <v>80</v>
      </c>
      <c r="L8" s="37">
        <v>43929</v>
      </c>
      <c r="M8" s="62">
        <v>43930</v>
      </c>
      <c r="N8" s="63">
        <v>14</v>
      </c>
      <c r="O8" s="64">
        <f>IF(COV_CASE[[#This Row],[Isolation Period (In Days)]]="","",COV_CASE[[#This Row],[Isolation Date]]+COV_CASE[[#This Row],[Isolation Period (In Days)]])</f>
        <v>43944</v>
      </c>
      <c r="P8" s="70">
        <f ca="1">IFERROR(IF(COV_CASE[[#This Row],[Isolation Ending Date]]="","",IF(TODAY()&gt;COV_CASE[[#This Row],[Isolation Ending Date]],0,COV_CASE[[#This Row],[Isolation Ending Date]]-TODAY())),"")</f>
        <v>0</v>
      </c>
      <c r="Q8" s="65">
        <f ca="1">IF(COV_CASE[[#This Row],[Remain Days]]="","",(COV_CASE[[#This Row],[Isolation Period (In Days)]]-COV_CASE[[#This Row],[Remain Days]])/COV_CASE[[#This Row],[Isolation Period (In Days)]])</f>
        <v>1</v>
      </c>
      <c r="R8" s="63" t="str">
        <f ca="1">IF(COV_CASE[[#This Row],[Isolating Completion%]]=1,"",1)</f>
        <v/>
      </c>
      <c r="S8" s="62" t="s">
        <v>281</v>
      </c>
      <c r="T8" s="58" t="s">
        <v>290</v>
      </c>
      <c r="U8" s="62">
        <v>43947</v>
      </c>
    </row>
    <row r="9" spans="1:21" x14ac:dyDescent="0.2">
      <c r="A9" s="49" t="str">
        <f t="shared" si="0"/>
        <v/>
      </c>
      <c r="B9" s="37">
        <v>43927</v>
      </c>
      <c r="C9" s="40" t="s">
        <v>129</v>
      </c>
      <c r="D9" s="55" t="str">
        <f>IFERROR(IF(COV_CASE[[#This Row],[Employee Name]]="","",VLOOKUP(COV_CASE[[#This Row],[Employee Name]],Database!B:F,2,0)),"")</f>
        <v>EMP-00062</v>
      </c>
      <c r="E9" s="72">
        <f>IFERROR(IF(COV_CASE[[#This Row],[Employee Name]]="","",VLOOKUP(COV_CASE[[#This Row],[Employee Name]],Database!B:F,3,0)),"")</f>
        <v>29</v>
      </c>
      <c r="F9" s="55" t="str">
        <f>IFERROR(IF(COV_CASE[[#This Row],[Employee Name]]="","",VLOOKUP(COV_CASE[[#This Row],[Employee Name]],Database!B:F,4,0)),"")</f>
        <v>M</v>
      </c>
      <c r="G9" s="55" t="str">
        <f>IFERROR(IF(COV_CASE[[#This Row],[Employee Name]]="","",VLOOKUP(COV_CASE[[#This Row],[Employee Name]],Database!B:F,5,0)),"")</f>
        <v>Finance</v>
      </c>
      <c r="H9" s="93">
        <f>IF(COV_CASE[[#This Row],[Department]]="","",COUNTIF(Database!F:F,COV_CASE[[#This Row],[Department]]))</f>
        <v>10</v>
      </c>
      <c r="I9" s="95">
        <f>IFERROR(1/COV_CASE[[#This Row],[Department Manpower]],"")</f>
        <v>0.1</v>
      </c>
      <c r="J9" s="61" t="s">
        <v>79</v>
      </c>
      <c r="K9" s="61" t="s">
        <v>80</v>
      </c>
      <c r="L9" s="37">
        <v>43926</v>
      </c>
      <c r="M9" s="62">
        <v>43927</v>
      </c>
      <c r="N9" s="63">
        <v>14</v>
      </c>
      <c r="O9" s="64">
        <f>IF(COV_CASE[[#This Row],[Isolation Period (In Days)]]="","",COV_CASE[[#This Row],[Isolation Date]]+COV_CASE[[#This Row],[Isolation Period (In Days)]])</f>
        <v>43941</v>
      </c>
      <c r="P9" s="70">
        <f ca="1">IFERROR(IF(COV_CASE[[#This Row],[Isolation Ending Date]]="","",IF(TODAY()&gt;COV_CASE[[#This Row],[Isolation Ending Date]],0,COV_CASE[[#This Row],[Isolation Ending Date]]-TODAY())),"")</f>
        <v>0</v>
      </c>
      <c r="Q9" s="65">
        <f ca="1">IF(COV_CASE[[#This Row],[Remain Days]]="","",(COV_CASE[[#This Row],[Isolation Period (In Days)]]-COV_CASE[[#This Row],[Remain Days]])/COV_CASE[[#This Row],[Isolation Period (In Days)]])</f>
        <v>1</v>
      </c>
      <c r="R9" s="63" t="str">
        <f ca="1">IF(COV_CASE[[#This Row],[Isolating Completion%]]=1,"",1)</f>
        <v/>
      </c>
      <c r="S9" s="62" t="s">
        <v>281</v>
      </c>
      <c r="T9" s="58" t="s">
        <v>290</v>
      </c>
      <c r="U9" s="62">
        <v>43944</v>
      </c>
    </row>
    <row r="10" spans="1:21" x14ac:dyDescent="0.2">
      <c r="A10" s="49" t="str">
        <f t="shared" si="0"/>
        <v/>
      </c>
      <c r="B10" s="37">
        <v>44118</v>
      </c>
      <c r="C10" s="40" t="s">
        <v>150</v>
      </c>
      <c r="D10" s="55" t="str">
        <f>IFERROR(IF(COV_CASE[[#This Row],[Employee Name]]="","",VLOOKUP(COV_CASE[[#This Row],[Employee Name]],Database!B:F,2,0)),"")</f>
        <v>EMP-00083</v>
      </c>
      <c r="E10" s="72">
        <f>IFERROR(IF(COV_CASE[[#This Row],[Employee Name]]="","",VLOOKUP(COV_CASE[[#This Row],[Employee Name]],Database!B:F,3,0)),"")</f>
        <v>27</v>
      </c>
      <c r="F10" s="55" t="str">
        <f>IFERROR(IF(COV_CASE[[#This Row],[Employee Name]]="","",VLOOKUP(COV_CASE[[#This Row],[Employee Name]],Database!B:F,4,0)),"")</f>
        <v>M</v>
      </c>
      <c r="G10" s="55" t="str">
        <f>IFERROR(IF(COV_CASE[[#This Row],[Employee Name]]="","",VLOOKUP(COV_CASE[[#This Row],[Employee Name]],Database!B:F,5,0)),"")</f>
        <v>QA</v>
      </c>
      <c r="H10" s="93">
        <f>IF(COV_CASE[[#This Row],[Department]]="","",COUNTIF(Database!F:F,COV_CASE[[#This Row],[Department]]))</f>
        <v>13</v>
      </c>
      <c r="I10" s="95">
        <f>IFERROR(1/COV_CASE[[#This Row],[Department Manpower]],"")</f>
        <v>7.6923076923076927E-2</v>
      </c>
      <c r="J10" s="61" t="s">
        <v>79</v>
      </c>
      <c r="K10" s="61" t="s">
        <v>80</v>
      </c>
      <c r="L10" s="37">
        <v>44117</v>
      </c>
      <c r="M10" s="62">
        <v>44118</v>
      </c>
      <c r="N10" s="63">
        <v>14</v>
      </c>
      <c r="O10" s="64">
        <f>IF(COV_CASE[[#This Row],[Isolation Period (In Days)]]="","",COV_CASE[[#This Row],[Isolation Date]]+COV_CASE[[#This Row],[Isolation Period (In Days)]])</f>
        <v>44132</v>
      </c>
      <c r="P10" s="70">
        <f ca="1">IFERROR(IF(COV_CASE[[#This Row],[Isolation Ending Date]]="","",IF(TODAY()&gt;COV_CASE[[#This Row],[Isolation Ending Date]],0,COV_CASE[[#This Row],[Isolation Ending Date]]-TODAY())),"")</f>
        <v>0</v>
      </c>
      <c r="Q10" s="65">
        <f ca="1">IF(COV_CASE[[#This Row],[Remain Days]]="","",(COV_CASE[[#This Row],[Isolation Period (In Days)]]-COV_CASE[[#This Row],[Remain Days]])/COV_CASE[[#This Row],[Isolation Period (In Days)]])</f>
        <v>1</v>
      </c>
      <c r="R10" s="63" t="str">
        <f ca="1">IF(COV_CASE[[#This Row],[Isolating Completion%]]=1,"",1)</f>
        <v/>
      </c>
      <c r="S10" s="62" t="s">
        <v>281</v>
      </c>
      <c r="T10" s="58" t="s">
        <v>290</v>
      </c>
      <c r="U10" s="62">
        <v>44135</v>
      </c>
    </row>
    <row r="11" spans="1:21" x14ac:dyDescent="0.2">
      <c r="A11" s="49" t="str">
        <f t="shared" si="0"/>
        <v/>
      </c>
      <c r="B11" s="37">
        <v>44021</v>
      </c>
      <c r="C11" s="40" t="s">
        <v>37</v>
      </c>
      <c r="D11" s="55" t="str">
        <f>IFERROR(IF(COV_CASE[[#This Row],[Employee Name]]="","",VLOOKUP(COV_CASE[[#This Row],[Employee Name]],Database!B:F,2,0)),"")</f>
        <v>EMP-00010</v>
      </c>
      <c r="E11" s="72">
        <f>IFERROR(IF(COV_CASE[[#This Row],[Employee Name]]="","",VLOOKUP(COV_CASE[[#This Row],[Employee Name]],Database!B:F,3,0)),"")</f>
        <v>38</v>
      </c>
      <c r="F11" s="55" t="str">
        <f>IFERROR(IF(COV_CASE[[#This Row],[Employee Name]]="","",VLOOKUP(COV_CASE[[#This Row],[Employee Name]],Database!B:F,4,0)),"")</f>
        <v>M</v>
      </c>
      <c r="G11" s="55" t="str">
        <f>IFERROR(IF(COV_CASE[[#This Row],[Employee Name]]="","",VLOOKUP(COV_CASE[[#This Row],[Employee Name]],Database!B:F,5,0)),"")</f>
        <v>QA</v>
      </c>
      <c r="H11" s="93">
        <f>IF(COV_CASE[[#This Row],[Department]]="","",COUNTIF(Database!F:F,COV_CASE[[#This Row],[Department]]))</f>
        <v>13</v>
      </c>
      <c r="I11" s="95">
        <f>IFERROR(1/COV_CASE[[#This Row],[Department Manpower]],"")</f>
        <v>7.6923076923076927E-2</v>
      </c>
      <c r="J11" s="61" t="s">
        <v>79</v>
      </c>
      <c r="K11" s="61" t="s">
        <v>80</v>
      </c>
      <c r="L11" s="37">
        <v>44020</v>
      </c>
      <c r="M11" s="62">
        <v>44021</v>
      </c>
      <c r="N11" s="63">
        <v>14</v>
      </c>
      <c r="O11" s="64">
        <f>IF(COV_CASE[[#This Row],[Isolation Period (In Days)]]="","",COV_CASE[[#This Row],[Isolation Date]]+COV_CASE[[#This Row],[Isolation Period (In Days)]])</f>
        <v>44035</v>
      </c>
      <c r="P11" s="70">
        <f ca="1">IFERROR(IF(COV_CASE[[#This Row],[Isolation Ending Date]]="","",IF(TODAY()&gt;COV_CASE[[#This Row],[Isolation Ending Date]],0,COV_CASE[[#This Row],[Isolation Ending Date]]-TODAY())),"")</f>
        <v>0</v>
      </c>
      <c r="Q11" s="65">
        <f ca="1">IF(COV_CASE[[#This Row],[Remain Days]]="","",(COV_CASE[[#This Row],[Isolation Period (In Days)]]-COV_CASE[[#This Row],[Remain Days]])/COV_CASE[[#This Row],[Isolation Period (In Days)]])</f>
        <v>1</v>
      </c>
      <c r="R11" s="63" t="str">
        <f ca="1">IF(COV_CASE[[#This Row],[Isolating Completion%]]=1,"",1)</f>
        <v/>
      </c>
      <c r="S11" s="62" t="s">
        <v>281</v>
      </c>
      <c r="T11" s="58" t="s">
        <v>290</v>
      </c>
      <c r="U11" s="62">
        <v>44038</v>
      </c>
    </row>
    <row r="12" spans="1:21" x14ac:dyDescent="0.2">
      <c r="A12" s="49" t="str">
        <f t="shared" si="0"/>
        <v/>
      </c>
      <c r="B12" s="37">
        <v>44009</v>
      </c>
      <c r="C12" s="40" t="s">
        <v>152</v>
      </c>
      <c r="D12" s="55" t="str">
        <f>IFERROR(IF(COV_CASE[[#This Row],[Employee Name]]="","",VLOOKUP(COV_CASE[[#This Row],[Employee Name]],Database!B:F,2,0)),"")</f>
        <v>EMP-00085</v>
      </c>
      <c r="E12" s="72">
        <f>IFERROR(IF(COV_CASE[[#This Row],[Employee Name]]="","",VLOOKUP(COV_CASE[[#This Row],[Employee Name]],Database!B:F,3,0)),"")</f>
        <v>37</v>
      </c>
      <c r="F12" s="55" t="str">
        <f>IFERROR(IF(COV_CASE[[#This Row],[Employee Name]]="","",VLOOKUP(COV_CASE[[#This Row],[Employee Name]],Database!B:F,4,0)),"")</f>
        <v>F</v>
      </c>
      <c r="G12" s="55" t="str">
        <f>IFERROR(IF(COV_CASE[[#This Row],[Employee Name]]="","",VLOOKUP(COV_CASE[[#This Row],[Employee Name]],Database!B:F,5,0)),"")</f>
        <v>Warehouse</v>
      </c>
      <c r="H12" s="93">
        <f>IF(COV_CASE[[#This Row],[Department]]="","",COUNTIF(Database!F:F,COV_CASE[[#This Row],[Department]]))</f>
        <v>18</v>
      </c>
      <c r="I12" s="95">
        <f>IFERROR(1/COV_CASE[[#This Row],[Department Manpower]],"")</f>
        <v>5.5555555555555552E-2</v>
      </c>
      <c r="J12" s="61" t="s">
        <v>79</v>
      </c>
      <c r="K12" s="61" t="s">
        <v>80</v>
      </c>
      <c r="L12" s="37">
        <v>44008</v>
      </c>
      <c r="M12" s="62">
        <v>44009</v>
      </c>
      <c r="N12" s="63">
        <v>14</v>
      </c>
      <c r="O12" s="64">
        <f>IF(COV_CASE[[#This Row],[Isolation Period (In Days)]]="","",COV_CASE[[#This Row],[Isolation Date]]+COV_CASE[[#This Row],[Isolation Period (In Days)]])</f>
        <v>44023</v>
      </c>
      <c r="P12" s="70">
        <f ca="1">IFERROR(IF(COV_CASE[[#This Row],[Isolation Ending Date]]="","",IF(TODAY()&gt;COV_CASE[[#This Row],[Isolation Ending Date]],0,COV_CASE[[#This Row],[Isolation Ending Date]]-TODAY())),"")</f>
        <v>0</v>
      </c>
      <c r="Q12" s="65">
        <f ca="1">IF(COV_CASE[[#This Row],[Remain Days]]="","",(COV_CASE[[#This Row],[Isolation Period (In Days)]]-COV_CASE[[#This Row],[Remain Days]])/COV_CASE[[#This Row],[Isolation Period (In Days)]])</f>
        <v>1</v>
      </c>
      <c r="R12" s="63" t="str">
        <f ca="1">IF(COV_CASE[[#This Row],[Isolating Completion%]]=1,"",1)</f>
        <v/>
      </c>
      <c r="S12" s="62" t="s">
        <v>281</v>
      </c>
      <c r="T12" s="58" t="s">
        <v>290</v>
      </c>
      <c r="U12" s="62">
        <v>44026</v>
      </c>
    </row>
    <row r="13" spans="1:21" x14ac:dyDescent="0.2">
      <c r="A13" s="49" t="str">
        <f t="shared" si="0"/>
        <v/>
      </c>
      <c r="B13" s="37">
        <v>44055</v>
      </c>
      <c r="C13" s="40" t="s">
        <v>32</v>
      </c>
      <c r="D13" s="55" t="str">
        <f>IFERROR(IF(COV_CASE[[#This Row],[Employee Name]]="","",VLOOKUP(COV_CASE[[#This Row],[Employee Name]],Database!B:F,2,0)),"")</f>
        <v>EMP-00005</v>
      </c>
      <c r="E13" s="72">
        <f>IFERROR(IF(COV_CASE[[#This Row],[Employee Name]]="","",VLOOKUP(COV_CASE[[#This Row],[Employee Name]],Database!B:F,3,0)),"")</f>
        <v>36</v>
      </c>
      <c r="F13" s="55" t="str">
        <f>IFERROR(IF(COV_CASE[[#This Row],[Employee Name]]="","",VLOOKUP(COV_CASE[[#This Row],[Employee Name]],Database!B:F,4,0)),"")</f>
        <v>M</v>
      </c>
      <c r="G13" s="55" t="str">
        <f>IFERROR(IF(COV_CASE[[#This Row],[Employee Name]]="","",VLOOKUP(COV_CASE[[#This Row],[Employee Name]],Database!B:F,5,0)),"")</f>
        <v>Finance</v>
      </c>
      <c r="H13" s="93">
        <f>IF(COV_CASE[[#This Row],[Department]]="","",COUNTIF(Database!F:F,COV_CASE[[#This Row],[Department]]))</f>
        <v>10</v>
      </c>
      <c r="I13" s="95">
        <f>IFERROR(1/COV_CASE[[#This Row],[Department Manpower]],"")</f>
        <v>0.1</v>
      </c>
      <c r="J13" s="61" t="s">
        <v>79</v>
      </c>
      <c r="K13" s="61" t="s">
        <v>80</v>
      </c>
      <c r="L13" s="37">
        <v>44054</v>
      </c>
      <c r="M13" s="62">
        <v>44055</v>
      </c>
      <c r="N13" s="63">
        <v>14</v>
      </c>
      <c r="O13" s="64">
        <f>IF(COV_CASE[[#This Row],[Isolation Period (In Days)]]="","",COV_CASE[[#This Row],[Isolation Date]]+COV_CASE[[#This Row],[Isolation Period (In Days)]])</f>
        <v>44069</v>
      </c>
      <c r="P13" s="70">
        <f ca="1">IFERROR(IF(COV_CASE[[#This Row],[Isolation Ending Date]]="","",IF(TODAY()&gt;COV_CASE[[#This Row],[Isolation Ending Date]],0,COV_CASE[[#This Row],[Isolation Ending Date]]-TODAY())),"")</f>
        <v>0</v>
      </c>
      <c r="Q13" s="65">
        <f ca="1">IF(COV_CASE[[#This Row],[Remain Days]]="","",(COV_CASE[[#This Row],[Isolation Period (In Days)]]-COV_CASE[[#This Row],[Remain Days]])/COV_CASE[[#This Row],[Isolation Period (In Days)]])</f>
        <v>1</v>
      </c>
      <c r="R13" s="63" t="str">
        <f ca="1">IF(COV_CASE[[#This Row],[Isolating Completion%]]=1,"",1)</f>
        <v/>
      </c>
      <c r="S13" s="62" t="s">
        <v>281</v>
      </c>
      <c r="T13" s="58" t="s">
        <v>290</v>
      </c>
      <c r="U13" s="62">
        <v>44072</v>
      </c>
    </row>
    <row r="14" spans="1:21" x14ac:dyDescent="0.2">
      <c r="A14" s="49" t="str">
        <f t="shared" si="0"/>
        <v/>
      </c>
      <c r="B14" s="37">
        <v>43939</v>
      </c>
      <c r="C14" s="40" t="s">
        <v>123</v>
      </c>
      <c r="D14" s="55" t="str">
        <f>IFERROR(IF(COV_CASE[[#This Row],[Employee Name]]="","",VLOOKUP(COV_CASE[[#This Row],[Employee Name]],Database!B:F,2,0)),"")</f>
        <v>EMP-00056</v>
      </c>
      <c r="E14" s="72">
        <f>IFERROR(IF(COV_CASE[[#This Row],[Employee Name]]="","",VLOOKUP(COV_CASE[[#This Row],[Employee Name]],Database!B:F,3,0)),"")</f>
        <v>36</v>
      </c>
      <c r="F14" s="55" t="str">
        <f>IFERROR(IF(COV_CASE[[#This Row],[Employee Name]]="","",VLOOKUP(COV_CASE[[#This Row],[Employee Name]],Database!B:F,4,0)),"")</f>
        <v>M</v>
      </c>
      <c r="G14" s="55" t="str">
        <f>IFERROR(IF(COV_CASE[[#This Row],[Employee Name]]="","",VLOOKUP(COV_CASE[[#This Row],[Employee Name]],Database!B:F,5,0)),"")</f>
        <v>Planning</v>
      </c>
      <c r="H14" s="93">
        <f>IF(COV_CASE[[#This Row],[Department]]="","",COUNTIF(Database!F:F,COV_CASE[[#This Row],[Department]]))</f>
        <v>13</v>
      </c>
      <c r="I14" s="95">
        <f>IFERROR(1/COV_CASE[[#This Row],[Department Manpower]],"")</f>
        <v>7.6923076923076927E-2</v>
      </c>
      <c r="J14" s="61" t="s">
        <v>79</v>
      </c>
      <c r="K14" s="61" t="s">
        <v>80</v>
      </c>
      <c r="L14" s="37">
        <v>43938</v>
      </c>
      <c r="M14" s="62">
        <v>43939</v>
      </c>
      <c r="N14" s="63">
        <v>14</v>
      </c>
      <c r="O14" s="64">
        <f>IF(COV_CASE[[#This Row],[Isolation Period (In Days)]]="","",COV_CASE[[#This Row],[Isolation Date]]+COV_CASE[[#This Row],[Isolation Period (In Days)]])</f>
        <v>43953</v>
      </c>
      <c r="P14" s="70">
        <f ca="1">IFERROR(IF(COV_CASE[[#This Row],[Isolation Ending Date]]="","",IF(TODAY()&gt;COV_CASE[[#This Row],[Isolation Ending Date]],0,COV_CASE[[#This Row],[Isolation Ending Date]]-TODAY())),"")</f>
        <v>0</v>
      </c>
      <c r="Q14" s="65">
        <f ca="1">IF(COV_CASE[[#This Row],[Remain Days]]="","",(COV_CASE[[#This Row],[Isolation Period (In Days)]]-COV_CASE[[#This Row],[Remain Days]])/COV_CASE[[#This Row],[Isolation Period (In Days)]])</f>
        <v>1</v>
      </c>
      <c r="R14" s="63" t="str">
        <f ca="1">IF(COV_CASE[[#This Row],[Isolating Completion%]]=1,"",1)</f>
        <v/>
      </c>
      <c r="S14" s="62" t="s">
        <v>281</v>
      </c>
      <c r="T14" s="58" t="s">
        <v>290</v>
      </c>
      <c r="U14" s="62">
        <v>43956</v>
      </c>
    </row>
    <row r="15" spans="1:21" x14ac:dyDescent="0.2">
      <c r="A15" s="49" t="str">
        <f t="shared" si="0"/>
        <v/>
      </c>
      <c r="B15" s="37">
        <v>44131</v>
      </c>
      <c r="C15" s="40" t="s">
        <v>127</v>
      </c>
      <c r="D15" s="55" t="str">
        <f>IFERROR(IF(COV_CASE[[#This Row],[Employee Name]]="","",VLOOKUP(COV_CASE[[#This Row],[Employee Name]],Database!B:F,2,0)),"")</f>
        <v>EMP-00060</v>
      </c>
      <c r="E15" s="72">
        <f>IFERROR(IF(COV_CASE[[#This Row],[Employee Name]]="","",VLOOKUP(COV_CASE[[#This Row],[Employee Name]],Database!B:F,3,0)),"")</f>
        <v>38</v>
      </c>
      <c r="F15" s="55" t="str">
        <f>IFERROR(IF(COV_CASE[[#This Row],[Employee Name]]="","",VLOOKUP(COV_CASE[[#This Row],[Employee Name]],Database!B:F,4,0)),"")</f>
        <v>F</v>
      </c>
      <c r="G15" s="55" t="str">
        <f>IFERROR(IF(COV_CASE[[#This Row],[Employee Name]]="","",VLOOKUP(COV_CASE[[#This Row],[Employee Name]],Database!B:F,5,0)),"")</f>
        <v>Warehouse</v>
      </c>
      <c r="H15" s="93">
        <f>IF(COV_CASE[[#This Row],[Department]]="","",COUNTIF(Database!F:F,COV_CASE[[#This Row],[Department]]))</f>
        <v>18</v>
      </c>
      <c r="I15" s="95">
        <f>IFERROR(1/COV_CASE[[#This Row],[Department Manpower]],"")</f>
        <v>5.5555555555555552E-2</v>
      </c>
      <c r="J15" s="61" t="s">
        <v>79</v>
      </c>
      <c r="K15" s="61" t="s">
        <v>80</v>
      </c>
      <c r="L15" s="37">
        <v>44130</v>
      </c>
      <c r="M15" s="62">
        <v>44131</v>
      </c>
      <c r="N15" s="63">
        <v>14</v>
      </c>
      <c r="O15" s="64">
        <f>IF(COV_CASE[[#This Row],[Isolation Period (In Days)]]="","",COV_CASE[[#This Row],[Isolation Date]]+COV_CASE[[#This Row],[Isolation Period (In Days)]])</f>
        <v>44145</v>
      </c>
      <c r="P15" s="70">
        <f ca="1">IFERROR(IF(COV_CASE[[#This Row],[Isolation Ending Date]]="","",IF(TODAY()&gt;COV_CASE[[#This Row],[Isolation Ending Date]],0,COV_CASE[[#This Row],[Isolation Ending Date]]-TODAY())),"")</f>
        <v>0</v>
      </c>
      <c r="Q15" s="65">
        <f ca="1">IF(COV_CASE[[#This Row],[Remain Days]]="","",(COV_CASE[[#This Row],[Isolation Period (In Days)]]-COV_CASE[[#This Row],[Remain Days]])/COV_CASE[[#This Row],[Isolation Period (In Days)]])</f>
        <v>1</v>
      </c>
      <c r="R15" s="63" t="str">
        <f ca="1">IF(COV_CASE[[#This Row],[Isolating Completion%]]=1,"",1)</f>
        <v/>
      </c>
      <c r="S15" s="62" t="s">
        <v>281</v>
      </c>
      <c r="T15" s="58" t="s">
        <v>290</v>
      </c>
      <c r="U15" s="62">
        <v>44148</v>
      </c>
    </row>
    <row r="16" spans="1:21" x14ac:dyDescent="0.2">
      <c r="A16" s="49" t="str">
        <f t="shared" si="0"/>
        <v/>
      </c>
      <c r="B16" s="37">
        <v>44058</v>
      </c>
      <c r="C16" s="40" t="s">
        <v>84</v>
      </c>
      <c r="D16" s="55" t="str">
        <f>IFERROR(IF(COV_CASE[[#This Row],[Employee Name]]="","",VLOOKUP(COV_CASE[[#This Row],[Employee Name]],Database!B:F,2,0)),"")</f>
        <v>EMP-00017</v>
      </c>
      <c r="E16" s="72">
        <f>IFERROR(IF(COV_CASE[[#This Row],[Employee Name]]="","",VLOOKUP(COV_CASE[[#This Row],[Employee Name]],Database!B:F,3,0)),"")</f>
        <v>27</v>
      </c>
      <c r="F16" s="55" t="str">
        <f>IFERROR(IF(COV_CASE[[#This Row],[Employee Name]]="","",VLOOKUP(COV_CASE[[#This Row],[Employee Name]],Database!B:F,4,0)),"")</f>
        <v>F</v>
      </c>
      <c r="G16" s="55" t="str">
        <f>IFERROR(IF(COV_CASE[[#This Row],[Employee Name]]="","",VLOOKUP(COV_CASE[[#This Row],[Employee Name]],Database!B:F,5,0)),"")</f>
        <v>QA</v>
      </c>
      <c r="H16" s="93">
        <f>IF(COV_CASE[[#This Row],[Department]]="","",COUNTIF(Database!F:F,COV_CASE[[#This Row],[Department]]))</f>
        <v>13</v>
      </c>
      <c r="I16" s="95">
        <f>IFERROR(1/COV_CASE[[#This Row],[Department Manpower]],"")</f>
        <v>7.6923076923076927E-2</v>
      </c>
      <c r="J16" s="61" t="s">
        <v>79</v>
      </c>
      <c r="K16" s="61" t="s">
        <v>80</v>
      </c>
      <c r="L16" s="37">
        <v>44057</v>
      </c>
      <c r="M16" s="62">
        <v>44058</v>
      </c>
      <c r="N16" s="63">
        <v>14</v>
      </c>
      <c r="O16" s="64">
        <f>IF(COV_CASE[[#This Row],[Isolation Period (In Days)]]="","",COV_CASE[[#This Row],[Isolation Date]]+COV_CASE[[#This Row],[Isolation Period (In Days)]])</f>
        <v>44072</v>
      </c>
      <c r="P16" s="70">
        <f ca="1">IFERROR(IF(COV_CASE[[#This Row],[Isolation Ending Date]]="","",IF(TODAY()&gt;COV_CASE[[#This Row],[Isolation Ending Date]],0,COV_CASE[[#This Row],[Isolation Ending Date]]-TODAY())),"")</f>
        <v>0</v>
      </c>
      <c r="Q16" s="65">
        <f ca="1">IF(COV_CASE[[#This Row],[Remain Days]]="","",(COV_CASE[[#This Row],[Isolation Period (In Days)]]-COV_CASE[[#This Row],[Remain Days]])/COV_CASE[[#This Row],[Isolation Period (In Days)]])</f>
        <v>1</v>
      </c>
      <c r="R16" s="63" t="str">
        <f ca="1">IF(COV_CASE[[#This Row],[Isolating Completion%]]=1,"",1)</f>
        <v/>
      </c>
      <c r="S16" s="62" t="s">
        <v>281</v>
      </c>
      <c r="T16" s="58" t="s">
        <v>290</v>
      </c>
      <c r="U16" s="62">
        <v>44075</v>
      </c>
    </row>
    <row r="17" spans="1:21" x14ac:dyDescent="0.2">
      <c r="A17" s="49" t="str">
        <f t="shared" si="0"/>
        <v/>
      </c>
      <c r="B17" s="37">
        <v>44134</v>
      </c>
      <c r="C17" s="40" t="s">
        <v>97</v>
      </c>
      <c r="D17" s="55" t="str">
        <f>IFERROR(IF(COV_CASE[[#This Row],[Employee Name]]="","",VLOOKUP(COV_CASE[[#This Row],[Employee Name]],Database!B:F,2,0)),"")</f>
        <v>EMP-00030</v>
      </c>
      <c r="E17" s="72">
        <f>IFERROR(IF(COV_CASE[[#This Row],[Employee Name]]="","",VLOOKUP(COV_CASE[[#This Row],[Employee Name]],Database!B:F,3,0)),"")</f>
        <v>38</v>
      </c>
      <c r="F17" s="55" t="str">
        <f>IFERROR(IF(COV_CASE[[#This Row],[Employee Name]]="","",VLOOKUP(COV_CASE[[#This Row],[Employee Name]],Database!B:F,4,0)),"")</f>
        <v>M</v>
      </c>
      <c r="G17" s="55" t="str">
        <f>IFERROR(IF(COV_CASE[[#This Row],[Employee Name]]="","",VLOOKUP(COV_CASE[[#This Row],[Employee Name]],Database!B:F,5,0)),"")</f>
        <v>QA</v>
      </c>
      <c r="H17" s="93">
        <f>IF(COV_CASE[[#This Row],[Department]]="","",COUNTIF(Database!F:F,COV_CASE[[#This Row],[Department]]))</f>
        <v>13</v>
      </c>
      <c r="I17" s="95">
        <f>IFERROR(1/COV_CASE[[#This Row],[Department Manpower]],"")</f>
        <v>7.6923076923076927E-2</v>
      </c>
      <c r="J17" s="61" t="s">
        <v>79</v>
      </c>
      <c r="K17" s="61" t="s">
        <v>80</v>
      </c>
      <c r="L17" s="37">
        <v>44133</v>
      </c>
      <c r="M17" s="62">
        <v>44134</v>
      </c>
      <c r="N17" s="63">
        <v>14</v>
      </c>
      <c r="O17" s="64">
        <f>IF(COV_CASE[[#This Row],[Isolation Period (In Days)]]="","",COV_CASE[[#This Row],[Isolation Date]]+COV_CASE[[#This Row],[Isolation Period (In Days)]])</f>
        <v>44148</v>
      </c>
      <c r="P17" s="70">
        <f ca="1">IFERROR(IF(COV_CASE[[#This Row],[Isolation Ending Date]]="","",IF(TODAY()&gt;COV_CASE[[#This Row],[Isolation Ending Date]],0,COV_CASE[[#This Row],[Isolation Ending Date]]-TODAY())),"")</f>
        <v>0</v>
      </c>
      <c r="Q17" s="65">
        <f ca="1">IF(COV_CASE[[#This Row],[Remain Days]]="","",(COV_CASE[[#This Row],[Isolation Period (In Days)]]-COV_CASE[[#This Row],[Remain Days]])/COV_CASE[[#This Row],[Isolation Period (In Days)]])</f>
        <v>1</v>
      </c>
      <c r="R17" s="63" t="str">
        <f ca="1">IF(COV_CASE[[#This Row],[Isolating Completion%]]=1,"",1)</f>
        <v/>
      </c>
      <c r="S17" s="62" t="s">
        <v>281</v>
      </c>
      <c r="T17" s="58" t="s">
        <v>290</v>
      </c>
      <c r="U17" s="62">
        <v>44151</v>
      </c>
    </row>
    <row r="18" spans="1:21" x14ac:dyDescent="0.2">
      <c r="A18" s="49" t="str">
        <f t="shared" si="0"/>
        <v/>
      </c>
      <c r="B18" s="37">
        <v>43877</v>
      </c>
      <c r="C18" s="40" t="s">
        <v>103</v>
      </c>
      <c r="D18" s="55" t="str">
        <f>IFERROR(IF(COV_CASE[[#This Row],[Employee Name]]="","",VLOOKUP(COV_CASE[[#This Row],[Employee Name]],Database!B:F,2,0)),"")</f>
        <v>EMP-00036</v>
      </c>
      <c r="E18" s="72">
        <f>IFERROR(IF(COV_CASE[[#This Row],[Employee Name]]="","",VLOOKUP(COV_CASE[[#This Row],[Employee Name]],Database!B:F,3,0)),"")</f>
        <v>38</v>
      </c>
      <c r="F18" s="55" t="str">
        <f>IFERROR(IF(COV_CASE[[#This Row],[Employee Name]]="","",VLOOKUP(COV_CASE[[#This Row],[Employee Name]],Database!B:F,4,0)),"")</f>
        <v>F</v>
      </c>
      <c r="G18" s="55" t="str">
        <f>IFERROR(IF(COV_CASE[[#This Row],[Employee Name]]="","",VLOOKUP(COV_CASE[[#This Row],[Employee Name]],Database!B:F,5,0)),"")</f>
        <v>Planning</v>
      </c>
      <c r="H18" s="93">
        <f>IF(COV_CASE[[#This Row],[Department]]="","",COUNTIF(Database!F:F,COV_CASE[[#This Row],[Department]]))</f>
        <v>13</v>
      </c>
      <c r="I18" s="95">
        <f>IFERROR(1/COV_CASE[[#This Row],[Department Manpower]],"")</f>
        <v>7.6923076923076927E-2</v>
      </c>
      <c r="J18" s="61" t="s">
        <v>281</v>
      </c>
      <c r="K18" s="61" t="s">
        <v>285</v>
      </c>
      <c r="L18" s="37">
        <v>43876</v>
      </c>
      <c r="M18" s="62">
        <v>43877</v>
      </c>
      <c r="N18" s="63">
        <v>7</v>
      </c>
      <c r="O18" s="64">
        <f>IF(COV_CASE[[#This Row],[Isolation Period (In Days)]]="","",COV_CASE[[#This Row],[Isolation Date]]+COV_CASE[[#This Row],[Isolation Period (In Days)]])</f>
        <v>43884</v>
      </c>
      <c r="P18" s="70">
        <f ca="1">IFERROR(IF(COV_CASE[[#This Row],[Isolation Ending Date]]="","",IF(TODAY()&gt;COV_CASE[[#This Row],[Isolation Ending Date]],0,COV_CASE[[#This Row],[Isolation Ending Date]]-TODAY())),"")</f>
        <v>0</v>
      </c>
      <c r="Q18" s="65">
        <f ca="1">IF(COV_CASE[[#This Row],[Remain Days]]="","",(COV_CASE[[#This Row],[Isolation Period (In Days)]]-COV_CASE[[#This Row],[Remain Days]])/COV_CASE[[#This Row],[Isolation Period (In Days)]])</f>
        <v>1</v>
      </c>
      <c r="R18" s="63" t="str">
        <f ca="1">IF(COV_CASE[[#This Row],[Isolating Completion%]]=1,"",1)</f>
        <v/>
      </c>
      <c r="S18" s="62" t="s">
        <v>281</v>
      </c>
      <c r="T18" s="58" t="s">
        <v>290</v>
      </c>
      <c r="U18" s="62">
        <v>43887</v>
      </c>
    </row>
    <row r="19" spans="1:21" x14ac:dyDescent="0.2">
      <c r="A19" s="49" t="str">
        <f t="shared" si="0"/>
        <v/>
      </c>
      <c r="B19" s="37">
        <v>44000</v>
      </c>
      <c r="C19" s="40" t="s">
        <v>162</v>
      </c>
      <c r="D19" s="55" t="str">
        <f>IFERROR(IF(COV_CASE[[#This Row],[Employee Name]]="","",VLOOKUP(COV_CASE[[#This Row],[Employee Name]],Database!B:F,2,0)),"")</f>
        <v>EMP-00095</v>
      </c>
      <c r="E19" s="72">
        <f>IFERROR(IF(COV_CASE[[#This Row],[Employee Name]]="","",VLOOKUP(COV_CASE[[#This Row],[Employee Name]],Database!B:F,3,0)),"")</f>
        <v>38</v>
      </c>
      <c r="F19" s="55" t="str">
        <f>IFERROR(IF(COV_CASE[[#This Row],[Employee Name]]="","",VLOOKUP(COV_CASE[[#This Row],[Employee Name]],Database!B:F,4,0)),"")</f>
        <v>M</v>
      </c>
      <c r="G19" s="55" t="str">
        <f>IFERROR(IF(COV_CASE[[#This Row],[Employee Name]]="","",VLOOKUP(COV_CASE[[#This Row],[Employee Name]],Database!B:F,5,0)),"")</f>
        <v>Production</v>
      </c>
      <c r="H19" s="93">
        <f>IF(COV_CASE[[#This Row],[Department]]="","",COUNTIF(Database!F:F,COV_CASE[[#This Row],[Department]]))</f>
        <v>12</v>
      </c>
      <c r="I19" s="95">
        <f>IFERROR(1/COV_CASE[[#This Row],[Department Manpower]],"")</f>
        <v>8.3333333333333329E-2</v>
      </c>
      <c r="J19" s="61" t="s">
        <v>79</v>
      </c>
      <c r="K19" s="61" t="s">
        <v>80</v>
      </c>
      <c r="L19" s="37">
        <v>43999</v>
      </c>
      <c r="M19" s="62">
        <v>44000</v>
      </c>
      <c r="N19" s="63">
        <v>14</v>
      </c>
      <c r="O19" s="64">
        <f>IF(COV_CASE[[#This Row],[Isolation Period (In Days)]]="","",COV_CASE[[#This Row],[Isolation Date]]+COV_CASE[[#This Row],[Isolation Period (In Days)]])</f>
        <v>44014</v>
      </c>
      <c r="P19" s="70">
        <f ca="1">IFERROR(IF(COV_CASE[[#This Row],[Isolation Ending Date]]="","",IF(TODAY()&gt;COV_CASE[[#This Row],[Isolation Ending Date]],0,COV_CASE[[#This Row],[Isolation Ending Date]]-TODAY())),"")</f>
        <v>0</v>
      </c>
      <c r="Q19" s="65">
        <f ca="1">IF(COV_CASE[[#This Row],[Remain Days]]="","",(COV_CASE[[#This Row],[Isolation Period (In Days)]]-COV_CASE[[#This Row],[Remain Days]])/COV_CASE[[#This Row],[Isolation Period (In Days)]])</f>
        <v>1</v>
      </c>
      <c r="R19" s="63" t="str">
        <f ca="1">IF(COV_CASE[[#This Row],[Isolating Completion%]]=1,"",1)</f>
        <v/>
      </c>
      <c r="S19" s="62" t="s">
        <v>281</v>
      </c>
      <c r="T19" s="58" t="s">
        <v>290</v>
      </c>
      <c r="U19" s="62">
        <v>44017</v>
      </c>
    </row>
    <row r="20" spans="1:21" x14ac:dyDescent="0.2">
      <c r="A20" s="49" t="str">
        <f t="shared" si="0"/>
        <v/>
      </c>
      <c r="B20" s="37">
        <v>43908</v>
      </c>
      <c r="C20" s="40" t="s">
        <v>109</v>
      </c>
      <c r="D20" s="55" t="str">
        <f>IFERROR(IF(COV_CASE[[#This Row],[Employee Name]]="","",VLOOKUP(COV_CASE[[#This Row],[Employee Name]],Database!B:F,2,0)),"")</f>
        <v>EMP-00042</v>
      </c>
      <c r="E20" s="72">
        <f>IFERROR(IF(COV_CASE[[#This Row],[Employee Name]]="","",VLOOKUP(COV_CASE[[#This Row],[Employee Name]],Database!B:F,3,0)),"")</f>
        <v>25</v>
      </c>
      <c r="F20" s="55" t="str">
        <f>IFERROR(IF(COV_CASE[[#This Row],[Employee Name]]="","",VLOOKUP(COV_CASE[[#This Row],[Employee Name]],Database!B:F,4,0)),"")</f>
        <v>M</v>
      </c>
      <c r="G20" s="55" t="str">
        <f>IFERROR(IF(COV_CASE[[#This Row],[Employee Name]]="","",VLOOKUP(COV_CASE[[#This Row],[Employee Name]],Database!B:F,5,0)),"")</f>
        <v>Purchasing</v>
      </c>
      <c r="H20" s="93">
        <f>IF(COV_CASE[[#This Row],[Department]]="","",COUNTIF(Database!F:F,COV_CASE[[#This Row],[Department]]))</f>
        <v>15</v>
      </c>
      <c r="I20" s="95">
        <f>IFERROR(1/COV_CASE[[#This Row],[Department Manpower]],"")</f>
        <v>6.6666666666666666E-2</v>
      </c>
      <c r="J20" s="61" t="s">
        <v>79</v>
      </c>
      <c r="K20" s="61" t="s">
        <v>80</v>
      </c>
      <c r="L20" s="37">
        <v>43907</v>
      </c>
      <c r="M20" s="62">
        <v>43908</v>
      </c>
      <c r="N20" s="63">
        <v>14</v>
      </c>
      <c r="O20" s="64">
        <f>IF(COV_CASE[[#This Row],[Isolation Period (In Days)]]="","",COV_CASE[[#This Row],[Isolation Date]]+COV_CASE[[#This Row],[Isolation Period (In Days)]])</f>
        <v>43922</v>
      </c>
      <c r="P20" s="70">
        <f ca="1">IFERROR(IF(COV_CASE[[#This Row],[Isolation Ending Date]]="","",IF(TODAY()&gt;COV_CASE[[#This Row],[Isolation Ending Date]],0,COV_CASE[[#This Row],[Isolation Ending Date]]-TODAY())),"")</f>
        <v>0</v>
      </c>
      <c r="Q20" s="65">
        <f ca="1">IF(COV_CASE[[#This Row],[Remain Days]]="","",(COV_CASE[[#This Row],[Isolation Period (In Days)]]-COV_CASE[[#This Row],[Remain Days]])/COV_CASE[[#This Row],[Isolation Period (In Days)]])</f>
        <v>1</v>
      </c>
      <c r="R20" s="63" t="str">
        <f ca="1">IF(COV_CASE[[#This Row],[Isolating Completion%]]=1,"",1)</f>
        <v/>
      </c>
      <c r="S20" s="62" t="s">
        <v>281</v>
      </c>
      <c r="T20" s="58" t="s">
        <v>290</v>
      </c>
      <c r="U20" s="62">
        <v>43925</v>
      </c>
    </row>
    <row r="21" spans="1:21" x14ac:dyDescent="0.2">
      <c r="A21" s="49" t="str">
        <f t="shared" si="0"/>
        <v/>
      </c>
      <c r="B21" s="37">
        <v>44079</v>
      </c>
      <c r="C21" s="40" t="s">
        <v>108</v>
      </c>
      <c r="D21" s="55" t="str">
        <f>IFERROR(IF(COV_CASE[[#This Row],[Employee Name]]="","",VLOOKUP(COV_CASE[[#This Row],[Employee Name]],Database!B:F,2,0)),"")</f>
        <v>EMP-00041</v>
      </c>
      <c r="E21" s="72">
        <f>IFERROR(IF(COV_CASE[[#This Row],[Employee Name]]="","",VLOOKUP(COV_CASE[[#This Row],[Employee Name]],Database!B:F,3,0)),"")</f>
        <v>29</v>
      </c>
      <c r="F21" s="55" t="str">
        <f>IFERROR(IF(COV_CASE[[#This Row],[Employee Name]]="","",VLOOKUP(COV_CASE[[#This Row],[Employee Name]],Database!B:F,4,0)),"")</f>
        <v>M</v>
      </c>
      <c r="G21" s="55" t="str">
        <f>IFERROR(IF(COV_CASE[[#This Row],[Employee Name]]="","",VLOOKUP(COV_CASE[[#This Row],[Employee Name]],Database!B:F,5,0)),"")</f>
        <v>HR</v>
      </c>
      <c r="H21" s="93">
        <f>IF(COV_CASE[[#This Row],[Department]]="","",COUNTIF(Database!F:F,COV_CASE[[#This Row],[Department]]))</f>
        <v>16</v>
      </c>
      <c r="I21" s="95">
        <f>IFERROR(1/COV_CASE[[#This Row],[Department Manpower]],"")</f>
        <v>6.25E-2</v>
      </c>
      <c r="J21" s="61" t="s">
        <v>79</v>
      </c>
      <c r="K21" s="61" t="s">
        <v>80</v>
      </c>
      <c r="L21" s="37">
        <v>44078</v>
      </c>
      <c r="M21" s="62">
        <v>44079</v>
      </c>
      <c r="N21" s="63">
        <v>14</v>
      </c>
      <c r="O21" s="64">
        <f>IF(COV_CASE[[#This Row],[Isolation Period (In Days)]]="","",COV_CASE[[#This Row],[Isolation Date]]+COV_CASE[[#This Row],[Isolation Period (In Days)]])</f>
        <v>44093</v>
      </c>
      <c r="P21" s="70">
        <f ca="1">IFERROR(IF(COV_CASE[[#This Row],[Isolation Ending Date]]="","",IF(TODAY()&gt;COV_CASE[[#This Row],[Isolation Ending Date]],0,COV_CASE[[#This Row],[Isolation Ending Date]]-TODAY())),"")</f>
        <v>0</v>
      </c>
      <c r="Q21" s="65">
        <f ca="1">IF(COV_CASE[[#This Row],[Remain Days]]="","",(COV_CASE[[#This Row],[Isolation Period (In Days)]]-COV_CASE[[#This Row],[Remain Days]])/COV_CASE[[#This Row],[Isolation Period (In Days)]])</f>
        <v>1</v>
      </c>
      <c r="R21" s="63" t="str">
        <f ca="1">IF(COV_CASE[[#This Row],[Isolating Completion%]]=1,"",1)</f>
        <v/>
      </c>
      <c r="S21" s="62" t="s">
        <v>281</v>
      </c>
      <c r="T21" s="58" t="s">
        <v>290</v>
      </c>
      <c r="U21" s="62">
        <v>44096</v>
      </c>
    </row>
    <row r="22" spans="1:21" x14ac:dyDescent="0.2">
      <c r="A22" s="49" t="str">
        <f t="shared" si="0"/>
        <v/>
      </c>
      <c r="B22" s="37">
        <v>44177</v>
      </c>
      <c r="C22" s="40" t="s">
        <v>90</v>
      </c>
      <c r="D22" s="55" t="str">
        <f>IFERROR(IF(COV_CASE[[#This Row],[Employee Name]]="","",VLOOKUP(COV_CASE[[#This Row],[Employee Name]],Database!B:F,2,0)),"")</f>
        <v>EMP-00023</v>
      </c>
      <c r="E22" s="72">
        <f>IFERROR(IF(COV_CASE[[#This Row],[Employee Name]]="","",VLOOKUP(COV_CASE[[#This Row],[Employee Name]],Database!B:F,3,0)),"")</f>
        <v>32</v>
      </c>
      <c r="F22" s="55" t="str">
        <f>IFERROR(IF(COV_CASE[[#This Row],[Employee Name]]="","",VLOOKUP(COV_CASE[[#This Row],[Employee Name]],Database!B:F,4,0)),"")</f>
        <v>F</v>
      </c>
      <c r="G22" s="55" t="str">
        <f>IFERROR(IF(COV_CASE[[#This Row],[Employee Name]]="","",VLOOKUP(COV_CASE[[#This Row],[Employee Name]],Database!B:F,5,0)),"")</f>
        <v>Warehouse</v>
      </c>
      <c r="H22" s="93">
        <f>IF(COV_CASE[[#This Row],[Department]]="","",COUNTIF(Database!F:F,COV_CASE[[#This Row],[Department]]))</f>
        <v>18</v>
      </c>
      <c r="I22" s="95">
        <f>IFERROR(1/COV_CASE[[#This Row],[Department Manpower]],"")</f>
        <v>5.5555555555555552E-2</v>
      </c>
      <c r="J22" s="61" t="s">
        <v>281</v>
      </c>
      <c r="K22" s="61" t="s">
        <v>80</v>
      </c>
      <c r="L22" s="37">
        <v>44175</v>
      </c>
      <c r="M22" s="62">
        <v>44179</v>
      </c>
      <c r="N22" s="63">
        <v>14</v>
      </c>
      <c r="O22" s="64">
        <f>IF(COV_CASE[[#This Row],[Isolation Period (In Days)]]="","",COV_CASE[[#This Row],[Isolation Date]]+COV_CASE[[#This Row],[Isolation Period (In Days)]])</f>
        <v>44193</v>
      </c>
      <c r="P22" s="70">
        <f ca="1">IFERROR(IF(COV_CASE[[#This Row],[Isolation Ending Date]]="","",IF(TODAY()&gt;COV_CASE[[#This Row],[Isolation Ending Date]],0,COV_CASE[[#This Row],[Isolation Ending Date]]-TODAY())),"")</f>
        <v>0</v>
      </c>
      <c r="Q22" s="65">
        <f ca="1">IF(COV_CASE[[#This Row],[Remain Days]]="","",(COV_CASE[[#This Row],[Isolation Period (In Days)]]-COV_CASE[[#This Row],[Remain Days]])/COV_CASE[[#This Row],[Isolation Period (In Days)]])</f>
        <v>1</v>
      </c>
      <c r="R22" s="63" t="str">
        <f ca="1">IF(COV_CASE[[#This Row],[Isolating Completion%]]=1,"",1)</f>
        <v/>
      </c>
      <c r="S22" s="62"/>
      <c r="T22" s="58"/>
      <c r="U22" s="62"/>
    </row>
    <row r="23" spans="1:21" x14ac:dyDescent="0.2">
      <c r="A23" s="49" t="str">
        <f t="shared" si="0"/>
        <v/>
      </c>
      <c r="B23" s="37">
        <v>44045</v>
      </c>
      <c r="C23" s="40" t="s">
        <v>34</v>
      </c>
      <c r="D23" s="55" t="str">
        <f>IFERROR(IF(COV_CASE[[#This Row],[Employee Name]]="","",VLOOKUP(COV_CASE[[#This Row],[Employee Name]],Database!B:F,2,0)),"")</f>
        <v>EMP-00007</v>
      </c>
      <c r="E23" s="72">
        <f>IFERROR(IF(COV_CASE[[#This Row],[Employee Name]]="","",VLOOKUP(COV_CASE[[#This Row],[Employee Name]],Database!B:F,3,0)),"")</f>
        <v>31</v>
      </c>
      <c r="F23" s="55" t="str">
        <f>IFERROR(IF(COV_CASE[[#This Row],[Employee Name]]="","",VLOOKUP(COV_CASE[[#This Row],[Employee Name]],Database!B:F,4,0)),"")</f>
        <v>M</v>
      </c>
      <c r="G23" s="55" t="str">
        <f>IFERROR(IF(COV_CASE[[#This Row],[Employee Name]]="","",VLOOKUP(COV_CASE[[#This Row],[Employee Name]],Database!B:F,5,0)),"")</f>
        <v>HR</v>
      </c>
      <c r="H23" s="93">
        <f>IF(COV_CASE[[#This Row],[Department]]="","",COUNTIF(Database!F:F,COV_CASE[[#This Row],[Department]]))</f>
        <v>16</v>
      </c>
      <c r="I23" s="95">
        <f>IFERROR(1/COV_CASE[[#This Row],[Department Manpower]],"")</f>
        <v>6.25E-2</v>
      </c>
      <c r="J23" s="61" t="s">
        <v>79</v>
      </c>
      <c r="K23" s="61" t="s">
        <v>80</v>
      </c>
      <c r="L23" s="37">
        <v>44044</v>
      </c>
      <c r="M23" s="62">
        <v>44045</v>
      </c>
      <c r="N23" s="63">
        <v>14</v>
      </c>
      <c r="O23" s="64">
        <f>IF(COV_CASE[[#This Row],[Isolation Period (In Days)]]="","",COV_CASE[[#This Row],[Isolation Date]]+COV_CASE[[#This Row],[Isolation Period (In Days)]])</f>
        <v>44059</v>
      </c>
      <c r="P23" s="70">
        <f ca="1">IFERROR(IF(COV_CASE[[#This Row],[Isolation Ending Date]]="","",IF(TODAY()&gt;COV_CASE[[#This Row],[Isolation Ending Date]],0,COV_CASE[[#This Row],[Isolation Ending Date]]-TODAY())),"")</f>
        <v>0</v>
      </c>
      <c r="Q23" s="65">
        <f ca="1">IF(COV_CASE[[#This Row],[Remain Days]]="","",(COV_CASE[[#This Row],[Isolation Period (In Days)]]-COV_CASE[[#This Row],[Remain Days]])/COV_CASE[[#This Row],[Isolation Period (In Days)]])</f>
        <v>1</v>
      </c>
      <c r="R23" s="63" t="str">
        <f ca="1">IF(COV_CASE[[#This Row],[Isolating Completion%]]=1,"",1)</f>
        <v/>
      </c>
      <c r="S23" s="62" t="s">
        <v>281</v>
      </c>
      <c r="T23" s="58" t="s">
        <v>290</v>
      </c>
      <c r="U23" s="62">
        <v>44062</v>
      </c>
    </row>
    <row r="24" spans="1:21" x14ac:dyDescent="0.2">
      <c r="A24" s="49" t="str">
        <f t="shared" si="0"/>
        <v/>
      </c>
      <c r="B24" s="37">
        <v>43941</v>
      </c>
      <c r="C24" s="40" t="s">
        <v>141</v>
      </c>
      <c r="D24" s="55" t="str">
        <f>IFERROR(IF(COV_CASE[[#This Row],[Employee Name]]="","",VLOOKUP(COV_CASE[[#This Row],[Employee Name]],Database!B:F,2,0)),"")</f>
        <v>EMP-00074</v>
      </c>
      <c r="E24" s="72">
        <f>IFERROR(IF(COV_CASE[[#This Row],[Employee Name]]="","",VLOOKUP(COV_CASE[[#This Row],[Employee Name]],Database!B:F,3,0)),"")</f>
        <v>29</v>
      </c>
      <c r="F24" s="55" t="str">
        <f>IFERROR(IF(COV_CASE[[#This Row],[Employee Name]]="","",VLOOKUP(COV_CASE[[#This Row],[Employee Name]],Database!B:F,4,0)),"")</f>
        <v>M</v>
      </c>
      <c r="G24" s="55" t="str">
        <f>IFERROR(IF(COV_CASE[[#This Row],[Employee Name]]="","",VLOOKUP(COV_CASE[[#This Row],[Employee Name]],Database!B:F,5,0)),"")</f>
        <v>Delivery</v>
      </c>
      <c r="H24" s="93">
        <f>IF(COV_CASE[[#This Row],[Department]]="","",COUNTIF(Database!F:F,COV_CASE[[#This Row],[Department]]))</f>
        <v>7</v>
      </c>
      <c r="I24" s="95">
        <f>IFERROR(1/COV_CASE[[#This Row],[Department Manpower]],"")</f>
        <v>0.14285714285714285</v>
      </c>
      <c r="J24" s="61" t="s">
        <v>79</v>
      </c>
      <c r="K24" s="61" t="s">
        <v>80</v>
      </c>
      <c r="L24" s="37">
        <v>43940</v>
      </c>
      <c r="M24" s="62">
        <v>43941</v>
      </c>
      <c r="N24" s="63">
        <v>14</v>
      </c>
      <c r="O24" s="64">
        <f>IF(COV_CASE[[#This Row],[Isolation Period (In Days)]]="","",COV_CASE[[#This Row],[Isolation Date]]+COV_CASE[[#This Row],[Isolation Period (In Days)]])</f>
        <v>43955</v>
      </c>
      <c r="P24" s="70">
        <f ca="1">IFERROR(IF(COV_CASE[[#This Row],[Isolation Ending Date]]="","",IF(TODAY()&gt;COV_CASE[[#This Row],[Isolation Ending Date]],0,COV_CASE[[#This Row],[Isolation Ending Date]]-TODAY())),"")</f>
        <v>0</v>
      </c>
      <c r="Q24" s="65">
        <f ca="1">IF(COV_CASE[[#This Row],[Remain Days]]="","",(COV_CASE[[#This Row],[Isolation Period (In Days)]]-COV_CASE[[#This Row],[Remain Days]])/COV_CASE[[#This Row],[Isolation Period (In Days)]])</f>
        <v>1</v>
      </c>
      <c r="R24" s="63" t="str">
        <f ca="1">IF(COV_CASE[[#This Row],[Isolating Completion%]]=1,"",1)</f>
        <v/>
      </c>
      <c r="S24" s="62" t="s">
        <v>281</v>
      </c>
      <c r="T24" s="58" t="s">
        <v>290</v>
      </c>
      <c r="U24" s="62">
        <v>43958</v>
      </c>
    </row>
    <row r="25" spans="1:21" x14ac:dyDescent="0.2">
      <c r="A25" s="49" t="str">
        <f t="shared" si="0"/>
        <v/>
      </c>
      <c r="B25" s="37">
        <v>44054</v>
      </c>
      <c r="C25" s="40" t="s">
        <v>164</v>
      </c>
      <c r="D25" s="55" t="str">
        <f>IFERROR(IF(COV_CASE[[#This Row],[Employee Name]]="","",VLOOKUP(COV_CASE[[#This Row],[Employee Name]],Database!B:F,2,0)),"")</f>
        <v>EMP-00097</v>
      </c>
      <c r="E25" s="72">
        <f>IFERROR(IF(COV_CASE[[#This Row],[Employee Name]]="","",VLOOKUP(COV_CASE[[#This Row],[Employee Name]],Database!B:F,3,0)),"")</f>
        <v>38</v>
      </c>
      <c r="F25" s="55" t="str">
        <f>IFERROR(IF(COV_CASE[[#This Row],[Employee Name]]="","",VLOOKUP(COV_CASE[[#This Row],[Employee Name]],Database!B:F,4,0)),"")</f>
        <v>F</v>
      </c>
      <c r="G25" s="55" t="str">
        <f>IFERROR(IF(COV_CASE[[#This Row],[Employee Name]]="","",VLOOKUP(COV_CASE[[#This Row],[Employee Name]],Database!B:F,5,0)),"")</f>
        <v>Warehouse</v>
      </c>
      <c r="H25" s="93">
        <f>IF(COV_CASE[[#This Row],[Department]]="","",COUNTIF(Database!F:F,COV_CASE[[#This Row],[Department]]))</f>
        <v>18</v>
      </c>
      <c r="I25" s="95">
        <f>IFERROR(1/COV_CASE[[#This Row],[Department Manpower]],"")</f>
        <v>5.5555555555555552E-2</v>
      </c>
      <c r="J25" s="61" t="s">
        <v>79</v>
      </c>
      <c r="K25" s="61" t="s">
        <v>80</v>
      </c>
      <c r="L25" s="37">
        <v>44053</v>
      </c>
      <c r="M25" s="62">
        <v>44054</v>
      </c>
      <c r="N25" s="63">
        <v>14</v>
      </c>
      <c r="O25" s="64">
        <f>IF(COV_CASE[[#This Row],[Isolation Period (In Days)]]="","",COV_CASE[[#This Row],[Isolation Date]]+COV_CASE[[#This Row],[Isolation Period (In Days)]])</f>
        <v>44068</v>
      </c>
      <c r="P25" s="70">
        <f ca="1">IFERROR(IF(COV_CASE[[#This Row],[Isolation Ending Date]]="","",IF(TODAY()&gt;COV_CASE[[#This Row],[Isolation Ending Date]],0,COV_CASE[[#This Row],[Isolation Ending Date]]-TODAY())),"")</f>
        <v>0</v>
      </c>
      <c r="Q25" s="65">
        <f ca="1">IF(COV_CASE[[#This Row],[Remain Days]]="","",(COV_CASE[[#This Row],[Isolation Period (In Days)]]-COV_CASE[[#This Row],[Remain Days]])/COV_CASE[[#This Row],[Isolation Period (In Days)]])</f>
        <v>1</v>
      </c>
      <c r="R25" s="63" t="str">
        <f ca="1">IF(COV_CASE[[#This Row],[Isolating Completion%]]=1,"",1)</f>
        <v/>
      </c>
      <c r="S25" s="62" t="s">
        <v>281</v>
      </c>
      <c r="T25" s="58" t="s">
        <v>290</v>
      </c>
      <c r="U25" s="62">
        <v>44071</v>
      </c>
    </row>
    <row r="26" spans="1:21" x14ac:dyDescent="0.2">
      <c r="A26" s="49" t="str">
        <f t="shared" si="0"/>
        <v/>
      </c>
      <c r="B26" s="37">
        <v>44115</v>
      </c>
      <c r="C26" s="40" t="s">
        <v>98</v>
      </c>
      <c r="D26" s="55" t="str">
        <f>IFERROR(IF(COV_CASE[[#This Row],[Employee Name]]="","",VLOOKUP(COV_CASE[[#This Row],[Employee Name]],Database!B:F,2,0)),"")</f>
        <v>EMP-00031</v>
      </c>
      <c r="E26" s="72">
        <f>IFERROR(IF(COV_CASE[[#This Row],[Employee Name]]="","",VLOOKUP(COV_CASE[[#This Row],[Employee Name]],Database!B:F,3,0)),"")</f>
        <v>31</v>
      </c>
      <c r="F26" s="55" t="str">
        <f>IFERROR(IF(COV_CASE[[#This Row],[Employee Name]]="","",VLOOKUP(COV_CASE[[#This Row],[Employee Name]],Database!B:F,4,0)),"")</f>
        <v>F</v>
      </c>
      <c r="G26" s="55" t="str">
        <f>IFERROR(IF(COV_CASE[[#This Row],[Employee Name]]="","",VLOOKUP(COV_CASE[[#This Row],[Employee Name]],Database!B:F,5,0)),"")</f>
        <v>Purchasing</v>
      </c>
      <c r="H26" s="93">
        <f>IF(COV_CASE[[#This Row],[Department]]="","",COUNTIF(Database!F:F,COV_CASE[[#This Row],[Department]]))</f>
        <v>15</v>
      </c>
      <c r="I26" s="95">
        <f>IFERROR(1/COV_CASE[[#This Row],[Department Manpower]],"")</f>
        <v>6.6666666666666666E-2</v>
      </c>
      <c r="J26" s="61" t="s">
        <v>281</v>
      </c>
      <c r="K26" s="61" t="s">
        <v>285</v>
      </c>
      <c r="L26" s="37">
        <v>44114</v>
      </c>
      <c r="M26" s="62">
        <v>44115</v>
      </c>
      <c r="N26" s="63">
        <v>7</v>
      </c>
      <c r="O26" s="64">
        <f>IF(COV_CASE[[#This Row],[Isolation Period (In Days)]]="","",COV_CASE[[#This Row],[Isolation Date]]+COV_CASE[[#This Row],[Isolation Period (In Days)]])</f>
        <v>44122</v>
      </c>
      <c r="P26" s="70">
        <f ca="1">IFERROR(IF(COV_CASE[[#This Row],[Isolation Ending Date]]="","",IF(TODAY()&gt;COV_CASE[[#This Row],[Isolation Ending Date]],0,COV_CASE[[#This Row],[Isolation Ending Date]]-TODAY())),"")</f>
        <v>0</v>
      </c>
      <c r="Q26" s="65">
        <f ca="1">IF(COV_CASE[[#This Row],[Remain Days]]="","",(COV_CASE[[#This Row],[Isolation Period (In Days)]]-COV_CASE[[#This Row],[Remain Days]])/COV_CASE[[#This Row],[Isolation Period (In Days)]])</f>
        <v>1</v>
      </c>
      <c r="R26" s="63" t="str">
        <f ca="1">IF(COV_CASE[[#This Row],[Isolating Completion%]]=1,"",1)</f>
        <v/>
      </c>
      <c r="S26" s="62" t="s">
        <v>281</v>
      </c>
      <c r="T26" s="58" t="s">
        <v>290</v>
      </c>
      <c r="U26" s="62">
        <v>44125</v>
      </c>
    </row>
    <row r="27" spans="1:21" x14ac:dyDescent="0.2">
      <c r="A27" s="49" t="str">
        <f t="shared" si="0"/>
        <v/>
      </c>
      <c r="B27" s="37">
        <v>43956</v>
      </c>
      <c r="C27" s="40" t="s">
        <v>131</v>
      </c>
      <c r="D27" s="55" t="str">
        <f>IFERROR(IF(COV_CASE[[#This Row],[Employee Name]]="","",VLOOKUP(COV_CASE[[#This Row],[Employee Name]],Database!B:F,2,0)),"")</f>
        <v>EMP-00064</v>
      </c>
      <c r="E27" s="72">
        <f>IFERROR(IF(COV_CASE[[#This Row],[Employee Name]]="","",VLOOKUP(COV_CASE[[#This Row],[Employee Name]],Database!B:F,3,0)),"")</f>
        <v>29</v>
      </c>
      <c r="F27" s="55" t="str">
        <f>IFERROR(IF(COV_CASE[[#This Row],[Employee Name]]="","",VLOOKUP(COV_CASE[[#This Row],[Employee Name]],Database!B:F,4,0)),"")</f>
        <v>F</v>
      </c>
      <c r="G27" s="55" t="str">
        <f>IFERROR(IF(COV_CASE[[#This Row],[Employee Name]]="","",VLOOKUP(COV_CASE[[#This Row],[Employee Name]],Database!B:F,5,0)),"")</f>
        <v>Warehouse</v>
      </c>
      <c r="H27" s="93">
        <f>IF(COV_CASE[[#This Row],[Department]]="","",COUNTIF(Database!F:F,COV_CASE[[#This Row],[Department]]))</f>
        <v>18</v>
      </c>
      <c r="I27" s="95">
        <f>IFERROR(1/COV_CASE[[#This Row],[Department Manpower]],"")</f>
        <v>5.5555555555555552E-2</v>
      </c>
      <c r="J27" s="61" t="s">
        <v>281</v>
      </c>
      <c r="K27" s="61" t="s">
        <v>285</v>
      </c>
      <c r="L27" s="37">
        <v>43955</v>
      </c>
      <c r="M27" s="62">
        <v>43956</v>
      </c>
      <c r="N27" s="63">
        <v>7</v>
      </c>
      <c r="O27" s="64">
        <f>IF(COV_CASE[[#This Row],[Isolation Period (In Days)]]="","",COV_CASE[[#This Row],[Isolation Date]]+COV_CASE[[#This Row],[Isolation Period (In Days)]])</f>
        <v>43963</v>
      </c>
      <c r="P27" s="70">
        <f ca="1">IFERROR(IF(COV_CASE[[#This Row],[Isolation Ending Date]]="","",IF(TODAY()&gt;COV_CASE[[#This Row],[Isolation Ending Date]],0,COV_CASE[[#This Row],[Isolation Ending Date]]-TODAY())),"")</f>
        <v>0</v>
      </c>
      <c r="Q27" s="65">
        <f ca="1">IF(COV_CASE[[#This Row],[Remain Days]]="","",(COV_CASE[[#This Row],[Isolation Period (In Days)]]-COV_CASE[[#This Row],[Remain Days]])/COV_CASE[[#This Row],[Isolation Period (In Days)]])</f>
        <v>1</v>
      </c>
      <c r="R27" s="63" t="str">
        <f ca="1">IF(COV_CASE[[#This Row],[Isolating Completion%]]=1,"",1)</f>
        <v/>
      </c>
      <c r="S27" s="62" t="s">
        <v>281</v>
      </c>
      <c r="T27" s="58" t="s">
        <v>290</v>
      </c>
      <c r="U27" s="62">
        <v>43966</v>
      </c>
    </row>
    <row r="28" spans="1:21" x14ac:dyDescent="0.2">
      <c r="A28" s="49" t="str">
        <f t="shared" si="0"/>
        <v/>
      </c>
      <c r="B28" s="37">
        <v>44000</v>
      </c>
      <c r="C28" s="40" t="s">
        <v>167</v>
      </c>
      <c r="D28" s="55" t="str">
        <f>IFERROR(IF(COV_CASE[[#This Row],[Employee Name]]="","",VLOOKUP(COV_CASE[[#This Row],[Employee Name]],Database!B:F,2,0)),"")</f>
        <v>EMP-00100</v>
      </c>
      <c r="E28" s="72">
        <f>IFERROR(IF(COV_CASE[[#This Row],[Employee Name]]="","",VLOOKUP(COV_CASE[[#This Row],[Employee Name]],Database!B:F,3,0)),"")</f>
        <v>29</v>
      </c>
      <c r="F28" s="55" t="str">
        <f>IFERROR(IF(COV_CASE[[#This Row],[Employee Name]]="","",VLOOKUP(COV_CASE[[#This Row],[Employee Name]],Database!B:F,4,0)),"")</f>
        <v>M</v>
      </c>
      <c r="G28" s="55" t="str">
        <f>IFERROR(IF(COV_CASE[[#This Row],[Employee Name]]="","",VLOOKUP(COV_CASE[[#This Row],[Employee Name]],Database!B:F,5,0)),"")</f>
        <v>HR</v>
      </c>
      <c r="H28" s="93">
        <f>IF(COV_CASE[[#This Row],[Department]]="","",COUNTIF(Database!F:F,COV_CASE[[#This Row],[Department]]))</f>
        <v>16</v>
      </c>
      <c r="I28" s="95">
        <f>IFERROR(1/COV_CASE[[#This Row],[Department Manpower]],"")</f>
        <v>6.25E-2</v>
      </c>
      <c r="J28" s="61" t="s">
        <v>79</v>
      </c>
      <c r="K28" s="61" t="s">
        <v>80</v>
      </c>
      <c r="L28" s="37">
        <v>43999</v>
      </c>
      <c r="M28" s="62">
        <v>44000</v>
      </c>
      <c r="N28" s="63">
        <v>14</v>
      </c>
      <c r="O28" s="64">
        <f>IF(COV_CASE[[#This Row],[Isolation Period (In Days)]]="","",COV_CASE[[#This Row],[Isolation Date]]+COV_CASE[[#This Row],[Isolation Period (In Days)]])</f>
        <v>44014</v>
      </c>
      <c r="P28" s="70">
        <f ca="1">IFERROR(IF(COV_CASE[[#This Row],[Isolation Ending Date]]="","",IF(TODAY()&gt;COV_CASE[[#This Row],[Isolation Ending Date]],0,COV_CASE[[#This Row],[Isolation Ending Date]]-TODAY())),"")</f>
        <v>0</v>
      </c>
      <c r="Q28" s="65">
        <f ca="1">IF(COV_CASE[[#This Row],[Remain Days]]="","",(COV_CASE[[#This Row],[Isolation Period (In Days)]]-COV_CASE[[#This Row],[Remain Days]])/COV_CASE[[#This Row],[Isolation Period (In Days)]])</f>
        <v>1</v>
      </c>
      <c r="R28" s="63" t="str">
        <f ca="1">IF(COV_CASE[[#This Row],[Isolating Completion%]]=1,"",1)</f>
        <v/>
      </c>
      <c r="S28" s="62" t="s">
        <v>281</v>
      </c>
      <c r="T28" s="58" t="s">
        <v>290</v>
      </c>
      <c r="U28" s="62">
        <v>44017</v>
      </c>
    </row>
    <row r="29" spans="1:21" x14ac:dyDescent="0.2">
      <c r="A29" s="49" t="str">
        <f t="shared" si="0"/>
        <v/>
      </c>
      <c r="B29" s="37">
        <v>44078</v>
      </c>
      <c r="C29" s="40" t="s">
        <v>112</v>
      </c>
      <c r="D29" s="55" t="str">
        <f>IFERROR(IF(COV_CASE[[#This Row],[Employee Name]]="","",VLOOKUP(COV_CASE[[#This Row],[Employee Name]],Database!B:F,2,0)),"")</f>
        <v>EMP-00045</v>
      </c>
      <c r="E29" s="72">
        <f>IFERROR(IF(COV_CASE[[#This Row],[Employee Name]]="","",VLOOKUP(COV_CASE[[#This Row],[Employee Name]],Database!B:F,3,0)),"")</f>
        <v>27</v>
      </c>
      <c r="F29" s="55" t="str">
        <f>IFERROR(IF(COV_CASE[[#This Row],[Employee Name]]="","",VLOOKUP(COV_CASE[[#This Row],[Employee Name]],Database!B:F,4,0)),"")</f>
        <v>F</v>
      </c>
      <c r="G29" s="55" t="str">
        <f>IFERROR(IF(COV_CASE[[#This Row],[Employee Name]]="","",VLOOKUP(COV_CASE[[#This Row],[Employee Name]],Database!B:F,5,0)),"")</f>
        <v>Warehouse</v>
      </c>
      <c r="H29" s="93">
        <f>IF(COV_CASE[[#This Row],[Department]]="","",COUNTIF(Database!F:F,COV_CASE[[#This Row],[Department]]))</f>
        <v>18</v>
      </c>
      <c r="I29" s="95">
        <f>IFERROR(1/COV_CASE[[#This Row],[Department Manpower]],"")</f>
        <v>5.5555555555555552E-2</v>
      </c>
      <c r="J29" s="61" t="s">
        <v>79</v>
      </c>
      <c r="K29" s="61" t="s">
        <v>80</v>
      </c>
      <c r="L29" s="37">
        <v>44077</v>
      </c>
      <c r="M29" s="62">
        <v>44078</v>
      </c>
      <c r="N29" s="63">
        <v>14</v>
      </c>
      <c r="O29" s="64">
        <f>IF(COV_CASE[[#This Row],[Isolation Period (In Days)]]="","",COV_CASE[[#This Row],[Isolation Date]]+COV_CASE[[#This Row],[Isolation Period (In Days)]])</f>
        <v>44092</v>
      </c>
      <c r="P29" s="70">
        <f ca="1">IFERROR(IF(COV_CASE[[#This Row],[Isolation Ending Date]]="","",IF(TODAY()&gt;COV_CASE[[#This Row],[Isolation Ending Date]],0,COV_CASE[[#This Row],[Isolation Ending Date]]-TODAY())),"")</f>
        <v>0</v>
      </c>
      <c r="Q29" s="65">
        <f ca="1">IF(COV_CASE[[#This Row],[Remain Days]]="","",(COV_CASE[[#This Row],[Isolation Period (In Days)]]-COV_CASE[[#This Row],[Remain Days]])/COV_CASE[[#This Row],[Isolation Period (In Days)]])</f>
        <v>1</v>
      </c>
      <c r="R29" s="63" t="str">
        <f ca="1">IF(COV_CASE[[#This Row],[Isolating Completion%]]=1,"",1)</f>
        <v/>
      </c>
      <c r="S29" s="62" t="s">
        <v>281</v>
      </c>
      <c r="T29" s="58" t="s">
        <v>290</v>
      </c>
      <c r="U29" s="62">
        <v>44095</v>
      </c>
    </row>
    <row r="30" spans="1:21" x14ac:dyDescent="0.2">
      <c r="A30" s="49" t="str">
        <f t="shared" si="0"/>
        <v/>
      </c>
      <c r="B30" s="37">
        <v>44062</v>
      </c>
      <c r="C30" s="40" t="s">
        <v>171</v>
      </c>
      <c r="D30" s="55" t="str">
        <f>IFERROR(IF(COV_CASE[[#This Row],[Employee Name]]="","",VLOOKUP(COV_CASE[[#This Row],[Employee Name]],Database!B:F,2,0)),"")</f>
        <v>EMP-00104</v>
      </c>
      <c r="E30" s="72">
        <f>IFERROR(IF(COV_CASE[[#This Row],[Employee Name]]="","",VLOOKUP(COV_CASE[[#This Row],[Employee Name]],Database!B:F,3,0)),"")</f>
        <v>32</v>
      </c>
      <c r="F30" s="55" t="str">
        <f>IFERROR(IF(COV_CASE[[#This Row],[Employee Name]]="","",VLOOKUP(COV_CASE[[#This Row],[Employee Name]],Database!B:F,4,0)),"")</f>
        <v>F</v>
      </c>
      <c r="G30" s="55" t="str">
        <f>IFERROR(IF(COV_CASE[[#This Row],[Employee Name]]="","",VLOOKUP(COV_CASE[[#This Row],[Employee Name]],Database!B:F,5,0)),"")</f>
        <v>Production</v>
      </c>
      <c r="H30" s="93">
        <f>IF(COV_CASE[[#This Row],[Department]]="","",COUNTIF(Database!F:F,COV_CASE[[#This Row],[Department]]))</f>
        <v>12</v>
      </c>
      <c r="I30" s="95">
        <f>IFERROR(1/COV_CASE[[#This Row],[Department Manpower]],"")</f>
        <v>8.3333333333333329E-2</v>
      </c>
      <c r="J30" s="61" t="s">
        <v>79</v>
      </c>
      <c r="K30" s="61" t="s">
        <v>80</v>
      </c>
      <c r="L30" s="37">
        <v>44061</v>
      </c>
      <c r="M30" s="62">
        <v>44062</v>
      </c>
      <c r="N30" s="63">
        <v>14</v>
      </c>
      <c r="O30" s="64">
        <f>IF(COV_CASE[[#This Row],[Isolation Period (In Days)]]="","",COV_CASE[[#This Row],[Isolation Date]]+COV_CASE[[#This Row],[Isolation Period (In Days)]])</f>
        <v>44076</v>
      </c>
      <c r="P30" s="70">
        <f ca="1">IFERROR(IF(COV_CASE[[#This Row],[Isolation Ending Date]]="","",IF(TODAY()&gt;COV_CASE[[#This Row],[Isolation Ending Date]],0,COV_CASE[[#This Row],[Isolation Ending Date]]-TODAY())),"")</f>
        <v>0</v>
      </c>
      <c r="Q30" s="65">
        <f ca="1">IF(COV_CASE[[#This Row],[Remain Days]]="","",(COV_CASE[[#This Row],[Isolation Period (In Days)]]-COV_CASE[[#This Row],[Remain Days]])/COV_CASE[[#This Row],[Isolation Period (In Days)]])</f>
        <v>1</v>
      </c>
      <c r="R30" s="63" t="str">
        <f ca="1">IF(COV_CASE[[#This Row],[Isolating Completion%]]=1,"",1)</f>
        <v/>
      </c>
      <c r="S30" s="62" t="s">
        <v>281</v>
      </c>
      <c r="T30" s="58" t="s">
        <v>290</v>
      </c>
      <c r="U30" s="62">
        <v>44079</v>
      </c>
    </row>
    <row r="31" spans="1:21" x14ac:dyDescent="0.2">
      <c r="A31" s="49" t="str">
        <f t="shared" si="0"/>
        <v/>
      </c>
      <c r="B31" s="37">
        <v>44011</v>
      </c>
      <c r="C31" s="40" t="s">
        <v>82</v>
      </c>
      <c r="D31" s="55" t="str">
        <f>IFERROR(IF(COV_CASE[[#This Row],[Employee Name]]="","",VLOOKUP(COV_CASE[[#This Row],[Employee Name]],Database!B:F,2,0)),"")</f>
        <v>EMP-00015</v>
      </c>
      <c r="E31" s="72">
        <f>IFERROR(IF(COV_CASE[[#This Row],[Employee Name]]="","",VLOOKUP(COV_CASE[[#This Row],[Employee Name]],Database!B:F,3,0)),"")</f>
        <v>36</v>
      </c>
      <c r="F31" s="55" t="str">
        <f>IFERROR(IF(COV_CASE[[#This Row],[Employee Name]]="","",VLOOKUP(COV_CASE[[#This Row],[Employee Name]],Database!B:F,4,0)),"")</f>
        <v>M</v>
      </c>
      <c r="G31" s="55" t="str">
        <f>IFERROR(IF(COV_CASE[[#This Row],[Employee Name]]="","",VLOOKUP(COV_CASE[[#This Row],[Employee Name]],Database!B:F,5,0)),"")</f>
        <v>Finance</v>
      </c>
      <c r="H31" s="93">
        <f>IF(COV_CASE[[#This Row],[Department]]="","",COUNTIF(Database!F:F,COV_CASE[[#This Row],[Department]]))</f>
        <v>10</v>
      </c>
      <c r="I31" s="95">
        <f>IFERROR(1/COV_CASE[[#This Row],[Department Manpower]],"")</f>
        <v>0.1</v>
      </c>
      <c r="J31" s="61" t="s">
        <v>79</v>
      </c>
      <c r="K31" s="61" t="s">
        <v>80</v>
      </c>
      <c r="L31" s="37">
        <v>44010</v>
      </c>
      <c r="M31" s="62">
        <v>44011</v>
      </c>
      <c r="N31" s="63">
        <v>14</v>
      </c>
      <c r="O31" s="64">
        <f>IF(COV_CASE[[#This Row],[Isolation Period (In Days)]]="","",COV_CASE[[#This Row],[Isolation Date]]+COV_CASE[[#This Row],[Isolation Period (In Days)]])</f>
        <v>44025</v>
      </c>
      <c r="P31" s="70">
        <f ca="1">IFERROR(IF(COV_CASE[[#This Row],[Isolation Ending Date]]="","",IF(TODAY()&gt;COV_CASE[[#This Row],[Isolation Ending Date]],0,COV_CASE[[#This Row],[Isolation Ending Date]]-TODAY())),"")</f>
        <v>0</v>
      </c>
      <c r="Q31" s="65">
        <f ca="1">IF(COV_CASE[[#This Row],[Remain Days]]="","",(COV_CASE[[#This Row],[Isolation Period (In Days)]]-COV_CASE[[#This Row],[Remain Days]])/COV_CASE[[#This Row],[Isolation Period (In Days)]])</f>
        <v>1</v>
      </c>
      <c r="R31" s="63" t="str">
        <f ca="1">IF(COV_CASE[[#This Row],[Isolating Completion%]]=1,"",1)</f>
        <v/>
      </c>
      <c r="S31" s="62" t="s">
        <v>281</v>
      </c>
      <c r="T31" s="58" t="s">
        <v>290</v>
      </c>
      <c r="U31" s="62">
        <v>44028</v>
      </c>
    </row>
    <row r="32" spans="1:21" x14ac:dyDescent="0.2">
      <c r="A32" s="49" t="str">
        <f t="shared" si="0"/>
        <v/>
      </c>
      <c r="B32" s="37">
        <v>43930</v>
      </c>
      <c r="C32" s="40" t="s">
        <v>146</v>
      </c>
      <c r="D32" s="55" t="str">
        <f>IFERROR(IF(COV_CASE[[#This Row],[Employee Name]]="","",VLOOKUP(COV_CASE[[#This Row],[Employee Name]],Database!B:F,2,0)),"")</f>
        <v>EMP-00079</v>
      </c>
      <c r="E32" s="72">
        <f>IFERROR(IF(COV_CASE[[#This Row],[Employee Name]]="","",VLOOKUP(COV_CASE[[#This Row],[Employee Name]],Database!B:F,3,0)),"")</f>
        <v>37</v>
      </c>
      <c r="F32" s="55" t="str">
        <f>IFERROR(IF(COV_CASE[[#This Row],[Employee Name]]="","",VLOOKUP(COV_CASE[[#This Row],[Employee Name]],Database!B:F,4,0)),"")</f>
        <v>M</v>
      </c>
      <c r="G32" s="55" t="str">
        <f>IFERROR(IF(COV_CASE[[#This Row],[Employee Name]]="","",VLOOKUP(COV_CASE[[#This Row],[Employee Name]],Database!B:F,5,0)),"")</f>
        <v>Production</v>
      </c>
      <c r="H32" s="93">
        <f>IF(COV_CASE[[#This Row],[Department]]="","",COUNTIF(Database!F:F,COV_CASE[[#This Row],[Department]]))</f>
        <v>12</v>
      </c>
      <c r="I32" s="95">
        <f>IFERROR(1/COV_CASE[[#This Row],[Department Manpower]],"")</f>
        <v>8.3333333333333329E-2</v>
      </c>
      <c r="J32" s="61" t="s">
        <v>79</v>
      </c>
      <c r="K32" s="61" t="s">
        <v>80</v>
      </c>
      <c r="L32" s="37">
        <v>43929</v>
      </c>
      <c r="M32" s="62">
        <v>43930</v>
      </c>
      <c r="N32" s="63">
        <v>14</v>
      </c>
      <c r="O32" s="64">
        <f>IF(COV_CASE[[#This Row],[Isolation Period (In Days)]]="","",COV_CASE[[#This Row],[Isolation Date]]+COV_CASE[[#This Row],[Isolation Period (In Days)]])</f>
        <v>43944</v>
      </c>
      <c r="P32" s="70">
        <f ca="1">IFERROR(IF(COV_CASE[[#This Row],[Isolation Ending Date]]="","",IF(TODAY()&gt;COV_CASE[[#This Row],[Isolation Ending Date]],0,COV_CASE[[#This Row],[Isolation Ending Date]]-TODAY())),"")</f>
        <v>0</v>
      </c>
      <c r="Q32" s="65">
        <f ca="1">IF(COV_CASE[[#This Row],[Remain Days]]="","",(COV_CASE[[#This Row],[Isolation Period (In Days)]]-COV_CASE[[#This Row],[Remain Days]])/COV_CASE[[#This Row],[Isolation Period (In Days)]])</f>
        <v>1</v>
      </c>
      <c r="R32" s="63" t="str">
        <f ca="1">IF(COV_CASE[[#This Row],[Isolating Completion%]]=1,"",1)</f>
        <v/>
      </c>
      <c r="S32" s="62" t="s">
        <v>281</v>
      </c>
      <c r="T32" s="58" t="s">
        <v>290</v>
      </c>
      <c r="U32" s="62">
        <v>43947</v>
      </c>
    </row>
    <row r="33" spans="1:21" x14ac:dyDescent="0.2">
      <c r="A33" s="49" t="str">
        <f t="shared" si="0"/>
        <v/>
      </c>
      <c r="B33" s="37">
        <v>43990</v>
      </c>
      <c r="C33" s="40" t="s">
        <v>141</v>
      </c>
      <c r="D33" s="55" t="str">
        <f>IFERROR(IF(COV_CASE[[#This Row],[Employee Name]]="","",VLOOKUP(COV_CASE[[#This Row],[Employee Name]],Database!B:F,2,0)),"")</f>
        <v>EMP-00074</v>
      </c>
      <c r="E33" s="72">
        <f>IFERROR(IF(COV_CASE[[#This Row],[Employee Name]]="","",VLOOKUP(COV_CASE[[#This Row],[Employee Name]],Database!B:F,3,0)),"")</f>
        <v>29</v>
      </c>
      <c r="F33" s="55" t="str">
        <f>IFERROR(IF(COV_CASE[[#This Row],[Employee Name]]="","",VLOOKUP(COV_CASE[[#This Row],[Employee Name]],Database!B:F,4,0)),"")</f>
        <v>M</v>
      </c>
      <c r="G33" s="55" t="str">
        <f>IFERROR(IF(COV_CASE[[#This Row],[Employee Name]]="","",VLOOKUP(COV_CASE[[#This Row],[Employee Name]],Database!B:F,5,0)),"")</f>
        <v>Delivery</v>
      </c>
      <c r="H33" s="93">
        <f>IF(COV_CASE[[#This Row],[Department]]="","",COUNTIF(Database!F:F,COV_CASE[[#This Row],[Department]]))</f>
        <v>7</v>
      </c>
      <c r="I33" s="95">
        <f>IFERROR(1/COV_CASE[[#This Row],[Department Manpower]],"")</f>
        <v>0.14285714285714285</v>
      </c>
      <c r="J33" s="61" t="s">
        <v>79</v>
      </c>
      <c r="K33" s="61" t="s">
        <v>80</v>
      </c>
      <c r="L33" s="37">
        <v>43989</v>
      </c>
      <c r="M33" s="62">
        <v>43990</v>
      </c>
      <c r="N33" s="63">
        <v>14</v>
      </c>
      <c r="O33" s="64">
        <f>IF(COV_CASE[[#This Row],[Isolation Period (In Days)]]="","",COV_CASE[[#This Row],[Isolation Date]]+COV_CASE[[#This Row],[Isolation Period (In Days)]])</f>
        <v>44004</v>
      </c>
      <c r="P33" s="70">
        <f ca="1">IFERROR(IF(COV_CASE[[#This Row],[Isolation Ending Date]]="","",IF(TODAY()&gt;COV_CASE[[#This Row],[Isolation Ending Date]],0,COV_CASE[[#This Row],[Isolation Ending Date]]-TODAY())),"")</f>
        <v>0</v>
      </c>
      <c r="Q33" s="65">
        <f ca="1">IF(COV_CASE[[#This Row],[Remain Days]]="","",(COV_CASE[[#This Row],[Isolation Period (In Days)]]-COV_CASE[[#This Row],[Remain Days]])/COV_CASE[[#This Row],[Isolation Period (In Days)]])</f>
        <v>1</v>
      </c>
      <c r="R33" s="63" t="str">
        <f ca="1">IF(COV_CASE[[#This Row],[Isolating Completion%]]=1,"",1)</f>
        <v/>
      </c>
      <c r="S33" s="62" t="s">
        <v>281</v>
      </c>
      <c r="T33" s="58" t="s">
        <v>290</v>
      </c>
      <c r="U33" s="62">
        <v>44007</v>
      </c>
    </row>
    <row r="34" spans="1:21" x14ac:dyDescent="0.2">
      <c r="A34" s="49" t="str">
        <f t="shared" si="0"/>
        <v/>
      </c>
      <c r="B34" s="37">
        <v>43942</v>
      </c>
      <c r="C34" s="40" t="s">
        <v>104</v>
      </c>
      <c r="D34" s="55" t="str">
        <f>IFERROR(IF(COV_CASE[[#This Row],[Employee Name]]="","",VLOOKUP(COV_CASE[[#This Row],[Employee Name]],Database!B:F,2,0)),"")</f>
        <v>EMP-00037</v>
      </c>
      <c r="E34" s="72">
        <f>IFERROR(IF(COV_CASE[[#This Row],[Employee Name]]="","",VLOOKUP(COV_CASE[[#This Row],[Employee Name]],Database!B:F,3,0)),"")</f>
        <v>29</v>
      </c>
      <c r="F34" s="55" t="str">
        <f>IFERROR(IF(COV_CASE[[#This Row],[Employee Name]]="","",VLOOKUP(COV_CASE[[#This Row],[Employee Name]],Database!B:F,4,0)),"")</f>
        <v>F</v>
      </c>
      <c r="G34" s="55" t="str">
        <f>IFERROR(IF(COV_CASE[[#This Row],[Employee Name]]="","",VLOOKUP(COV_CASE[[#This Row],[Employee Name]],Database!B:F,5,0)),"")</f>
        <v>Planning</v>
      </c>
      <c r="H34" s="93">
        <f>IF(COV_CASE[[#This Row],[Department]]="","",COUNTIF(Database!F:F,COV_CASE[[#This Row],[Department]]))</f>
        <v>13</v>
      </c>
      <c r="I34" s="95">
        <f>IFERROR(1/COV_CASE[[#This Row],[Department Manpower]],"")</f>
        <v>7.6923076923076927E-2</v>
      </c>
      <c r="J34" s="61" t="s">
        <v>79</v>
      </c>
      <c r="K34" s="61" t="s">
        <v>80</v>
      </c>
      <c r="L34" s="37">
        <v>43941</v>
      </c>
      <c r="M34" s="62">
        <v>43942</v>
      </c>
      <c r="N34" s="63">
        <v>14</v>
      </c>
      <c r="O34" s="64">
        <f>IF(COV_CASE[[#This Row],[Isolation Period (In Days)]]="","",COV_CASE[[#This Row],[Isolation Date]]+COV_CASE[[#This Row],[Isolation Period (In Days)]])</f>
        <v>43956</v>
      </c>
      <c r="P34" s="70">
        <f ca="1">IFERROR(IF(COV_CASE[[#This Row],[Isolation Ending Date]]="","",IF(TODAY()&gt;COV_CASE[[#This Row],[Isolation Ending Date]],0,COV_CASE[[#This Row],[Isolation Ending Date]]-TODAY())),"")</f>
        <v>0</v>
      </c>
      <c r="Q34" s="65">
        <f ca="1">IF(COV_CASE[[#This Row],[Remain Days]]="","",(COV_CASE[[#This Row],[Isolation Period (In Days)]]-COV_CASE[[#This Row],[Remain Days]])/COV_CASE[[#This Row],[Isolation Period (In Days)]])</f>
        <v>1</v>
      </c>
      <c r="R34" s="63" t="str">
        <f ca="1">IF(COV_CASE[[#This Row],[Isolating Completion%]]=1,"",1)</f>
        <v/>
      </c>
      <c r="S34" s="62" t="s">
        <v>281</v>
      </c>
      <c r="T34" s="58" t="s">
        <v>290</v>
      </c>
      <c r="U34" s="62">
        <v>43959</v>
      </c>
    </row>
    <row r="35" spans="1:21" x14ac:dyDescent="0.2">
      <c r="A35" s="49" t="str">
        <f t="shared" si="0"/>
        <v/>
      </c>
      <c r="B35" s="37">
        <v>44155</v>
      </c>
      <c r="C35" s="40" t="s">
        <v>136</v>
      </c>
      <c r="D35" s="55" t="str">
        <f>IFERROR(IF(COV_CASE[[#This Row],[Employee Name]]="","",VLOOKUP(COV_CASE[[#This Row],[Employee Name]],Database!B:F,2,0)),"")</f>
        <v>EMP-00069</v>
      </c>
      <c r="E35" s="72">
        <f>IFERROR(IF(COV_CASE[[#This Row],[Employee Name]]="","",VLOOKUP(COV_CASE[[#This Row],[Employee Name]],Database!B:F,3,0)),"")</f>
        <v>38</v>
      </c>
      <c r="F35" s="55" t="str">
        <f>IFERROR(IF(COV_CASE[[#This Row],[Employee Name]]="","",VLOOKUP(COV_CASE[[#This Row],[Employee Name]],Database!B:F,4,0)),"")</f>
        <v>M</v>
      </c>
      <c r="G35" s="55" t="str">
        <f>IFERROR(IF(COV_CASE[[#This Row],[Employee Name]]="","",VLOOKUP(COV_CASE[[#This Row],[Employee Name]],Database!B:F,5,0)),"")</f>
        <v>Production</v>
      </c>
      <c r="H35" s="93">
        <f>IF(COV_CASE[[#This Row],[Department]]="","",COUNTIF(Database!F:F,COV_CASE[[#This Row],[Department]]))</f>
        <v>12</v>
      </c>
      <c r="I35" s="95">
        <f>IFERROR(1/COV_CASE[[#This Row],[Department Manpower]],"")</f>
        <v>8.3333333333333329E-2</v>
      </c>
      <c r="J35" s="61" t="s">
        <v>79</v>
      </c>
      <c r="K35" s="61" t="s">
        <v>80</v>
      </c>
      <c r="L35" s="37">
        <v>44154</v>
      </c>
      <c r="M35" s="62">
        <v>44155</v>
      </c>
      <c r="N35" s="63">
        <v>14</v>
      </c>
      <c r="O35" s="64">
        <f>IF(COV_CASE[[#This Row],[Isolation Period (In Days)]]="","",COV_CASE[[#This Row],[Isolation Date]]+COV_CASE[[#This Row],[Isolation Period (In Days)]])</f>
        <v>44169</v>
      </c>
      <c r="P35" s="70">
        <f ca="1">IFERROR(IF(COV_CASE[[#This Row],[Isolation Ending Date]]="","",IF(TODAY()&gt;COV_CASE[[#This Row],[Isolation Ending Date]],0,COV_CASE[[#This Row],[Isolation Ending Date]]-TODAY())),"")</f>
        <v>0</v>
      </c>
      <c r="Q35" s="65">
        <f ca="1">IF(COV_CASE[[#This Row],[Remain Days]]="","",(COV_CASE[[#This Row],[Isolation Period (In Days)]]-COV_CASE[[#This Row],[Remain Days]])/COV_CASE[[#This Row],[Isolation Period (In Days)]])</f>
        <v>1</v>
      </c>
      <c r="R35" s="63" t="str">
        <f ca="1">IF(COV_CASE[[#This Row],[Isolating Completion%]]=1,"",1)</f>
        <v/>
      </c>
      <c r="S35" s="62" t="s">
        <v>281</v>
      </c>
      <c r="T35" s="58" t="s">
        <v>290</v>
      </c>
      <c r="U35" s="62">
        <v>44172</v>
      </c>
    </row>
    <row r="36" spans="1:21" x14ac:dyDescent="0.2">
      <c r="A36" s="49" t="str">
        <f t="shared" si="0"/>
        <v/>
      </c>
      <c r="B36" s="37">
        <v>43992</v>
      </c>
      <c r="C36" s="40" t="s">
        <v>96</v>
      </c>
      <c r="D36" s="55" t="str">
        <f>IFERROR(IF(COV_CASE[[#This Row],[Employee Name]]="","",VLOOKUP(COV_CASE[[#This Row],[Employee Name]],Database!B:F,2,0)),"")</f>
        <v>EMP-00029</v>
      </c>
      <c r="E36" s="72">
        <f>IFERROR(IF(COV_CASE[[#This Row],[Employee Name]]="","",VLOOKUP(COV_CASE[[#This Row],[Employee Name]],Database!B:F,3,0)),"")</f>
        <v>37</v>
      </c>
      <c r="F36" s="55" t="str">
        <f>IFERROR(IF(COV_CASE[[#This Row],[Employee Name]]="","",VLOOKUP(COV_CASE[[#This Row],[Employee Name]],Database!B:F,4,0)),"")</f>
        <v>M</v>
      </c>
      <c r="G36" s="55" t="str">
        <f>IFERROR(IF(COV_CASE[[#This Row],[Employee Name]]="","",VLOOKUP(COV_CASE[[#This Row],[Employee Name]],Database!B:F,5,0)),"")</f>
        <v>Warehouse</v>
      </c>
      <c r="H36" s="93">
        <f>IF(COV_CASE[[#This Row],[Department]]="","",COUNTIF(Database!F:F,COV_CASE[[#This Row],[Department]]))</f>
        <v>18</v>
      </c>
      <c r="I36" s="95">
        <f>IFERROR(1/COV_CASE[[#This Row],[Department Manpower]],"")</f>
        <v>5.5555555555555552E-2</v>
      </c>
      <c r="J36" s="61" t="s">
        <v>79</v>
      </c>
      <c r="K36" s="61" t="s">
        <v>80</v>
      </c>
      <c r="L36" s="37">
        <v>43991</v>
      </c>
      <c r="M36" s="62">
        <v>43992</v>
      </c>
      <c r="N36" s="63">
        <v>14</v>
      </c>
      <c r="O36" s="64">
        <f>IF(COV_CASE[[#This Row],[Isolation Period (In Days)]]="","",COV_CASE[[#This Row],[Isolation Date]]+COV_CASE[[#This Row],[Isolation Period (In Days)]])</f>
        <v>44006</v>
      </c>
      <c r="P36" s="70">
        <f ca="1">IFERROR(IF(COV_CASE[[#This Row],[Isolation Ending Date]]="","",IF(TODAY()&gt;COV_CASE[[#This Row],[Isolation Ending Date]],0,COV_CASE[[#This Row],[Isolation Ending Date]]-TODAY())),"")</f>
        <v>0</v>
      </c>
      <c r="Q36" s="65">
        <f ca="1">IF(COV_CASE[[#This Row],[Remain Days]]="","",(COV_CASE[[#This Row],[Isolation Period (In Days)]]-COV_CASE[[#This Row],[Remain Days]])/COV_CASE[[#This Row],[Isolation Period (In Days)]])</f>
        <v>1</v>
      </c>
      <c r="R36" s="63" t="str">
        <f ca="1">IF(COV_CASE[[#This Row],[Isolating Completion%]]=1,"",1)</f>
        <v/>
      </c>
      <c r="S36" s="62" t="s">
        <v>281</v>
      </c>
      <c r="T36" s="58" t="s">
        <v>290</v>
      </c>
      <c r="U36" s="62">
        <v>44009</v>
      </c>
    </row>
    <row r="37" spans="1:21" x14ac:dyDescent="0.2">
      <c r="A37" s="49" t="str">
        <f t="shared" si="0"/>
        <v/>
      </c>
      <c r="B37" s="37">
        <v>43904</v>
      </c>
      <c r="C37" s="40" t="s">
        <v>100</v>
      </c>
      <c r="D37" s="55" t="str">
        <f>IFERROR(IF(COV_CASE[[#This Row],[Employee Name]]="","",VLOOKUP(COV_CASE[[#This Row],[Employee Name]],Database!B:F,2,0)),"")</f>
        <v>EMP-00033</v>
      </c>
      <c r="E37" s="72">
        <f>IFERROR(IF(COV_CASE[[#This Row],[Employee Name]]="","",VLOOKUP(COV_CASE[[#This Row],[Employee Name]],Database!B:F,3,0)),"")</f>
        <v>31</v>
      </c>
      <c r="F37" s="55" t="str">
        <f>IFERROR(IF(COV_CASE[[#This Row],[Employee Name]]="","",VLOOKUP(COV_CASE[[#This Row],[Employee Name]],Database!B:F,4,0)),"")</f>
        <v>F</v>
      </c>
      <c r="G37" s="55" t="str">
        <f>IFERROR(IF(COV_CASE[[#This Row],[Employee Name]]="","",VLOOKUP(COV_CASE[[#This Row],[Employee Name]],Database!B:F,5,0)),"")</f>
        <v>HR</v>
      </c>
      <c r="H37" s="93">
        <f>IF(COV_CASE[[#This Row],[Department]]="","",COUNTIF(Database!F:F,COV_CASE[[#This Row],[Department]]))</f>
        <v>16</v>
      </c>
      <c r="I37" s="95">
        <f>IFERROR(1/COV_CASE[[#This Row],[Department Manpower]],"")</f>
        <v>6.25E-2</v>
      </c>
      <c r="J37" s="61" t="s">
        <v>281</v>
      </c>
      <c r="K37" s="61" t="s">
        <v>285</v>
      </c>
      <c r="L37" s="37">
        <v>43903</v>
      </c>
      <c r="M37" s="62">
        <v>43904</v>
      </c>
      <c r="N37" s="63">
        <v>7</v>
      </c>
      <c r="O37" s="64">
        <f>IF(COV_CASE[[#This Row],[Isolation Period (In Days)]]="","",COV_CASE[[#This Row],[Isolation Date]]+COV_CASE[[#This Row],[Isolation Period (In Days)]])</f>
        <v>43911</v>
      </c>
      <c r="P37" s="70">
        <f ca="1">IFERROR(IF(COV_CASE[[#This Row],[Isolation Ending Date]]="","",IF(TODAY()&gt;COV_CASE[[#This Row],[Isolation Ending Date]],0,COV_CASE[[#This Row],[Isolation Ending Date]]-TODAY())),"")</f>
        <v>0</v>
      </c>
      <c r="Q37" s="65">
        <f ca="1">IF(COV_CASE[[#This Row],[Remain Days]]="","",(COV_CASE[[#This Row],[Isolation Period (In Days)]]-COV_CASE[[#This Row],[Remain Days]])/COV_CASE[[#This Row],[Isolation Period (In Days)]])</f>
        <v>1</v>
      </c>
      <c r="R37" s="63" t="str">
        <f ca="1">IF(COV_CASE[[#This Row],[Isolating Completion%]]=1,"",1)</f>
        <v/>
      </c>
      <c r="S37" s="62" t="s">
        <v>281</v>
      </c>
      <c r="T37" s="58" t="s">
        <v>290</v>
      </c>
      <c r="U37" s="62">
        <v>43914</v>
      </c>
    </row>
    <row r="38" spans="1:21" x14ac:dyDescent="0.2">
      <c r="A38" s="49" t="str">
        <f t="shared" si="0"/>
        <v/>
      </c>
      <c r="B38" s="37">
        <v>44146</v>
      </c>
      <c r="C38" s="40" t="s">
        <v>123</v>
      </c>
      <c r="D38" s="55" t="str">
        <f>IFERROR(IF(COV_CASE[[#This Row],[Employee Name]]="","",VLOOKUP(COV_CASE[[#This Row],[Employee Name]],Database!B:F,2,0)),"")</f>
        <v>EMP-00056</v>
      </c>
      <c r="E38" s="72">
        <f>IFERROR(IF(COV_CASE[[#This Row],[Employee Name]]="","",VLOOKUP(COV_CASE[[#This Row],[Employee Name]],Database!B:F,3,0)),"")</f>
        <v>36</v>
      </c>
      <c r="F38" s="55" t="str">
        <f>IFERROR(IF(COV_CASE[[#This Row],[Employee Name]]="","",VLOOKUP(COV_CASE[[#This Row],[Employee Name]],Database!B:F,4,0)),"")</f>
        <v>M</v>
      </c>
      <c r="G38" s="55" t="str">
        <f>IFERROR(IF(COV_CASE[[#This Row],[Employee Name]]="","",VLOOKUP(COV_CASE[[#This Row],[Employee Name]],Database!B:F,5,0)),"")</f>
        <v>Planning</v>
      </c>
      <c r="H38" s="93">
        <f>IF(COV_CASE[[#This Row],[Department]]="","",COUNTIF(Database!F:F,COV_CASE[[#This Row],[Department]]))</f>
        <v>13</v>
      </c>
      <c r="I38" s="95">
        <f>IFERROR(1/COV_CASE[[#This Row],[Department Manpower]],"")</f>
        <v>7.6923076923076927E-2</v>
      </c>
      <c r="J38" s="61" t="s">
        <v>79</v>
      </c>
      <c r="K38" s="61" t="s">
        <v>80</v>
      </c>
      <c r="L38" s="37">
        <v>44145</v>
      </c>
      <c r="M38" s="62">
        <v>44146</v>
      </c>
      <c r="N38" s="63">
        <v>14</v>
      </c>
      <c r="O38" s="64">
        <f>IF(COV_CASE[[#This Row],[Isolation Period (In Days)]]="","",COV_CASE[[#This Row],[Isolation Date]]+COV_CASE[[#This Row],[Isolation Period (In Days)]])</f>
        <v>44160</v>
      </c>
      <c r="P38" s="70">
        <f ca="1">IFERROR(IF(COV_CASE[[#This Row],[Isolation Ending Date]]="","",IF(TODAY()&gt;COV_CASE[[#This Row],[Isolation Ending Date]],0,COV_CASE[[#This Row],[Isolation Ending Date]]-TODAY())),"")</f>
        <v>0</v>
      </c>
      <c r="Q38" s="65">
        <f ca="1">IF(COV_CASE[[#This Row],[Remain Days]]="","",(COV_CASE[[#This Row],[Isolation Period (In Days)]]-COV_CASE[[#This Row],[Remain Days]])/COV_CASE[[#This Row],[Isolation Period (In Days)]])</f>
        <v>1</v>
      </c>
      <c r="R38" s="63" t="str">
        <f ca="1">IF(COV_CASE[[#This Row],[Isolating Completion%]]=1,"",1)</f>
        <v/>
      </c>
      <c r="S38" s="62" t="s">
        <v>281</v>
      </c>
      <c r="T38" s="58" t="s">
        <v>290</v>
      </c>
      <c r="U38" s="62">
        <v>44163</v>
      </c>
    </row>
    <row r="39" spans="1:21" x14ac:dyDescent="0.2">
      <c r="A39" s="49" t="str">
        <f t="shared" si="0"/>
        <v/>
      </c>
      <c r="B39" s="37">
        <v>43908</v>
      </c>
      <c r="C39" s="40" t="s">
        <v>97</v>
      </c>
      <c r="D39" s="55" t="str">
        <f>IFERROR(IF(COV_CASE[[#This Row],[Employee Name]]="","",VLOOKUP(COV_CASE[[#This Row],[Employee Name]],Database!B:F,2,0)),"")</f>
        <v>EMP-00030</v>
      </c>
      <c r="E39" s="72">
        <f>IFERROR(IF(COV_CASE[[#This Row],[Employee Name]]="","",VLOOKUP(COV_CASE[[#This Row],[Employee Name]],Database!B:F,3,0)),"")</f>
        <v>38</v>
      </c>
      <c r="F39" s="55" t="str">
        <f>IFERROR(IF(COV_CASE[[#This Row],[Employee Name]]="","",VLOOKUP(COV_CASE[[#This Row],[Employee Name]],Database!B:F,4,0)),"")</f>
        <v>M</v>
      </c>
      <c r="G39" s="55" t="str">
        <f>IFERROR(IF(COV_CASE[[#This Row],[Employee Name]]="","",VLOOKUP(COV_CASE[[#This Row],[Employee Name]],Database!B:F,5,0)),"")</f>
        <v>QA</v>
      </c>
      <c r="H39" s="93">
        <f>IF(COV_CASE[[#This Row],[Department]]="","",COUNTIF(Database!F:F,COV_CASE[[#This Row],[Department]]))</f>
        <v>13</v>
      </c>
      <c r="I39" s="95">
        <f>IFERROR(1/COV_CASE[[#This Row],[Department Manpower]],"")</f>
        <v>7.6923076923076927E-2</v>
      </c>
      <c r="J39" s="61" t="s">
        <v>79</v>
      </c>
      <c r="K39" s="61" t="s">
        <v>80</v>
      </c>
      <c r="L39" s="37">
        <v>43907</v>
      </c>
      <c r="M39" s="62">
        <v>43908</v>
      </c>
      <c r="N39" s="63">
        <v>14</v>
      </c>
      <c r="O39" s="64">
        <f>IF(COV_CASE[[#This Row],[Isolation Period (In Days)]]="","",COV_CASE[[#This Row],[Isolation Date]]+COV_CASE[[#This Row],[Isolation Period (In Days)]])</f>
        <v>43922</v>
      </c>
      <c r="P39" s="70">
        <f ca="1">IFERROR(IF(COV_CASE[[#This Row],[Isolation Ending Date]]="","",IF(TODAY()&gt;COV_CASE[[#This Row],[Isolation Ending Date]],0,COV_CASE[[#This Row],[Isolation Ending Date]]-TODAY())),"")</f>
        <v>0</v>
      </c>
      <c r="Q39" s="65">
        <f ca="1">IF(COV_CASE[[#This Row],[Remain Days]]="","",(COV_CASE[[#This Row],[Isolation Period (In Days)]]-COV_CASE[[#This Row],[Remain Days]])/COV_CASE[[#This Row],[Isolation Period (In Days)]])</f>
        <v>1</v>
      </c>
      <c r="R39" s="63" t="str">
        <f ca="1">IF(COV_CASE[[#This Row],[Isolating Completion%]]=1,"",1)</f>
        <v/>
      </c>
      <c r="S39" s="62" t="s">
        <v>281</v>
      </c>
      <c r="T39" s="58" t="s">
        <v>290</v>
      </c>
      <c r="U39" s="62">
        <v>43925</v>
      </c>
    </row>
    <row r="40" spans="1:21" x14ac:dyDescent="0.2">
      <c r="A40" s="49" t="str">
        <f t="shared" si="0"/>
        <v/>
      </c>
      <c r="B40" s="37">
        <v>44085</v>
      </c>
      <c r="C40" s="40" t="s">
        <v>161</v>
      </c>
      <c r="D40" s="55" t="str">
        <f>IFERROR(IF(COV_CASE[[#This Row],[Employee Name]]="","",VLOOKUP(COV_CASE[[#This Row],[Employee Name]],Database!B:F,2,0)),"")</f>
        <v>EMP-00094</v>
      </c>
      <c r="E40" s="72">
        <f>IFERROR(IF(COV_CASE[[#This Row],[Employee Name]]="","",VLOOKUP(COV_CASE[[#This Row],[Employee Name]],Database!B:F,3,0)),"")</f>
        <v>32</v>
      </c>
      <c r="F40" s="55" t="str">
        <f>IFERROR(IF(COV_CASE[[#This Row],[Employee Name]]="","",VLOOKUP(COV_CASE[[#This Row],[Employee Name]],Database!B:F,4,0)),"")</f>
        <v>F</v>
      </c>
      <c r="G40" s="55" t="str">
        <f>IFERROR(IF(COV_CASE[[#This Row],[Employee Name]]="","",VLOOKUP(COV_CASE[[#This Row],[Employee Name]],Database!B:F,5,0)),"")</f>
        <v>Purchasing</v>
      </c>
      <c r="H40" s="93">
        <f>IF(COV_CASE[[#This Row],[Department]]="","",COUNTIF(Database!F:F,COV_CASE[[#This Row],[Department]]))</f>
        <v>15</v>
      </c>
      <c r="I40" s="95">
        <f>IFERROR(1/COV_CASE[[#This Row],[Department Manpower]],"")</f>
        <v>6.6666666666666666E-2</v>
      </c>
      <c r="J40" s="61" t="s">
        <v>79</v>
      </c>
      <c r="K40" s="61" t="s">
        <v>80</v>
      </c>
      <c r="L40" s="37">
        <v>44084</v>
      </c>
      <c r="M40" s="62">
        <v>44085</v>
      </c>
      <c r="N40" s="63">
        <v>14</v>
      </c>
      <c r="O40" s="64">
        <f>IF(COV_CASE[[#This Row],[Isolation Period (In Days)]]="","",COV_CASE[[#This Row],[Isolation Date]]+COV_CASE[[#This Row],[Isolation Period (In Days)]])</f>
        <v>44099</v>
      </c>
      <c r="P40" s="70">
        <f ca="1">IFERROR(IF(COV_CASE[[#This Row],[Isolation Ending Date]]="","",IF(TODAY()&gt;COV_CASE[[#This Row],[Isolation Ending Date]],0,COV_CASE[[#This Row],[Isolation Ending Date]]-TODAY())),"")</f>
        <v>0</v>
      </c>
      <c r="Q40" s="65">
        <f ca="1">IF(COV_CASE[[#This Row],[Remain Days]]="","",(COV_CASE[[#This Row],[Isolation Period (In Days)]]-COV_CASE[[#This Row],[Remain Days]])/COV_CASE[[#This Row],[Isolation Period (In Days)]])</f>
        <v>1</v>
      </c>
      <c r="R40" s="63" t="str">
        <f ca="1">IF(COV_CASE[[#This Row],[Isolating Completion%]]=1,"",1)</f>
        <v/>
      </c>
      <c r="S40" s="62" t="s">
        <v>281</v>
      </c>
      <c r="T40" s="58" t="s">
        <v>290</v>
      </c>
      <c r="U40" s="62">
        <v>44102</v>
      </c>
    </row>
    <row r="41" spans="1:21" x14ac:dyDescent="0.2">
      <c r="A41" s="49" t="str">
        <f t="shared" si="0"/>
        <v/>
      </c>
      <c r="B41" s="37">
        <v>43984</v>
      </c>
      <c r="C41" s="40" t="s">
        <v>112</v>
      </c>
      <c r="D41" s="55" t="str">
        <f>IFERROR(IF(COV_CASE[[#This Row],[Employee Name]]="","",VLOOKUP(COV_CASE[[#This Row],[Employee Name]],Database!B:F,2,0)),"")</f>
        <v>EMP-00045</v>
      </c>
      <c r="E41" s="72">
        <f>IFERROR(IF(COV_CASE[[#This Row],[Employee Name]]="","",VLOOKUP(COV_CASE[[#This Row],[Employee Name]],Database!B:F,3,0)),"")</f>
        <v>27</v>
      </c>
      <c r="F41" s="55" t="str">
        <f>IFERROR(IF(COV_CASE[[#This Row],[Employee Name]]="","",VLOOKUP(COV_CASE[[#This Row],[Employee Name]],Database!B:F,4,0)),"")</f>
        <v>F</v>
      </c>
      <c r="G41" s="55" t="str">
        <f>IFERROR(IF(COV_CASE[[#This Row],[Employee Name]]="","",VLOOKUP(COV_CASE[[#This Row],[Employee Name]],Database!B:F,5,0)),"")</f>
        <v>Warehouse</v>
      </c>
      <c r="H41" s="93">
        <f>IF(COV_CASE[[#This Row],[Department]]="","",COUNTIF(Database!F:F,COV_CASE[[#This Row],[Department]]))</f>
        <v>18</v>
      </c>
      <c r="I41" s="95">
        <f>IFERROR(1/COV_CASE[[#This Row],[Department Manpower]],"")</f>
        <v>5.5555555555555552E-2</v>
      </c>
      <c r="J41" s="61" t="s">
        <v>281</v>
      </c>
      <c r="K41" s="61" t="s">
        <v>285</v>
      </c>
      <c r="L41" s="37">
        <v>43983</v>
      </c>
      <c r="M41" s="62">
        <v>43984</v>
      </c>
      <c r="N41" s="63">
        <v>7</v>
      </c>
      <c r="O41" s="64">
        <f>IF(COV_CASE[[#This Row],[Isolation Period (In Days)]]="","",COV_CASE[[#This Row],[Isolation Date]]+COV_CASE[[#This Row],[Isolation Period (In Days)]])</f>
        <v>43991</v>
      </c>
      <c r="P41" s="70">
        <f ca="1">IFERROR(IF(COV_CASE[[#This Row],[Isolation Ending Date]]="","",IF(TODAY()&gt;COV_CASE[[#This Row],[Isolation Ending Date]],0,COV_CASE[[#This Row],[Isolation Ending Date]]-TODAY())),"")</f>
        <v>0</v>
      </c>
      <c r="Q41" s="65">
        <f ca="1">IF(COV_CASE[[#This Row],[Remain Days]]="","",(COV_CASE[[#This Row],[Isolation Period (In Days)]]-COV_CASE[[#This Row],[Remain Days]])/COV_CASE[[#This Row],[Isolation Period (In Days)]])</f>
        <v>1</v>
      </c>
      <c r="R41" s="63" t="str">
        <f ca="1">IF(COV_CASE[[#This Row],[Isolating Completion%]]=1,"",1)</f>
        <v/>
      </c>
      <c r="S41" s="62" t="s">
        <v>281</v>
      </c>
      <c r="T41" s="58" t="s">
        <v>290</v>
      </c>
      <c r="U41" s="62">
        <v>43994</v>
      </c>
    </row>
    <row r="42" spans="1:21" x14ac:dyDescent="0.2">
      <c r="A42" s="49" t="str">
        <f t="shared" si="0"/>
        <v/>
      </c>
      <c r="B42" s="37">
        <v>44173</v>
      </c>
      <c r="C42" s="40" t="s">
        <v>155</v>
      </c>
      <c r="D42" s="55" t="str">
        <f>IFERROR(IF(COV_CASE[[#This Row],[Employee Name]]="","",VLOOKUP(COV_CASE[[#This Row],[Employee Name]],Database!B:F,2,0)),"")</f>
        <v>EMP-00088</v>
      </c>
      <c r="E42" s="72">
        <f>IFERROR(IF(COV_CASE[[#This Row],[Employee Name]]="","",VLOOKUP(COV_CASE[[#This Row],[Employee Name]],Database!B:F,3,0)),"")</f>
        <v>26</v>
      </c>
      <c r="F42" s="55" t="str">
        <f>IFERROR(IF(COV_CASE[[#This Row],[Employee Name]]="","",VLOOKUP(COV_CASE[[#This Row],[Employee Name]],Database!B:F,4,0)),"")</f>
        <v>F</v>
      </c>
      <c r="G42" s="55" t="str">
        <f>IFERROR(IF(COV_CASE[[#This Row],[Employee Name]]="","",VLOOKUP(COV_CASE[[#This Row],[Employee Name]],Database!B:F,5,0)),"")</f>
        <v>Finance</v>
      </c>
      <c r="H42" s="93">
        <f>IF(COV_CASE[[#This Row],[Department]]="","",COUNTIF(Database!F:F,COV_CASE[[#This Row],[Department]]))</f>
        <v>10</v>
      </c>
      <c r="I42" s="95">
        <f>IFERROR(1/COV_CASE[[#This Row],[Department Manpower]],"")</f>
        <v>0.1</v>
      </c>
      <c r="J42" s="61" t="s">
        <v>79</v>
      </c>
      <c r="K42" s="61" t="s">
        <v>80</v>
      </c>
      <c r="L42" s="37">
        <v>44172</v>
      </c>
      <c r="M42" s="62">
        <v>44172</v>
      </c>
      <c r="N42" s="63">
        <v>14</v>
      </c>
      <c r="O42" s="64">
        <f>IF(COV_CASE[[#This Row],[Isolation Period (In Days)]]="","",COV_CASE[[#This Row],[Isolation Date]]+COV_CASE[[#This Row],[Isolation Period (In Days)]])</f>
        <v>44186</v>
      </c>
      <c r="P42" s="70">
        <f ca="1">IFERROR(IF(COV_CASE[[#This Row],[Isolation Ending Date]]="","",IF(TODAY()&gt;COV_CASE[[#This Row],[Isolation Ending Date]],0,COV_CASE[[#This Row],[Isolation Ending Date]]-TODAY())),"")</f>
        <v>0</v>
      </c>
      <c r="Q42" s="65">
        <f ca="1">IF(COV_CASE[[#This Row],[Remain Days]]="","",(COV_CASE[[#This Row],[Isolation Period (In Days)]]-COV_CASE[[#This Row],[Remain Days]])/COV_CASE[[#This Row],[Isolation Period (In Days)]])</f>
        <v>1</v>
      </c>
      <c r="R42" s="63" t="str">
        <f ca="1">IF(COV_CASE[[#This Row],[Isolating Completion%]]=1,"",1)</f>
        <v/>
      </c>
      <c r="S42" s="62"/>
      <c r="T42" s="58"/>
      <c r="U42" s="62"/>
    </row>
    <row r="43" spans="1:21" x14ac:dyDescent="0.2">
      <c r="A43" s="49" t="str">
        <f t="shared" si="0"/>
        <v/>
      </c>
      <c r="B43" s="37">
        <v>44185</v>
      </c>
      <c r="C43" s="40" t="s">
        <v>32</v>
      </c>
      <c r="D43" s="55" t="str">
        <f>IFERROR(IF(COV_CASE[[#This Row],[Employee Name]]="","",VLOOKUP(COV_CASE[[#This Row],[Employee Name]],Database!B:F,2,0)),"")</f>
        <v>EMP-00005</v>
      </c>
      <c r="E43" s="72">
        <f>IFERROR(IF(COV_CASE[[#This Row],[Employee Name]]="","",VLOOKUP(COV_CASE[[#This Row],[Employee Name]],Database!B:F,3,0)),"")</f>
        <v>36</v>
      </c>
      <c r="F43" s="55" t="str">
        <f>IFERROR(IF(COV_CASE[[#This Row],[Employee Name]]="","",VLOOKUP(COV_CASE[[#This Row],[Employee Name]],Database!B:F,4,0)),"")</f>
        <v>M</v>
      </c>
      <c r="G43" s="55" t="str">
        <f>IFERROR(IF(COV_CASE[[#This Row],[Employee Name]]="","",VLOOKUP(COV_CASE[[#This Row],[Employee Name]],Database!B:F,5,0)),"")</f>
        <v>Finance</v>
      </c>
      <c r="H43" s="93">
        <f>IF(COV_CASE[[#This Row],[Department]]="","",COUNTIF(Database!F:F,COV_CASE[[#This Row],[Department]]))</f>
        <v>10</v>
      </c>
      <c r="I43" s="95">
        <f>IFERROR(1/COV_CASE[[#This Row],[Department Manpower]],"")</f>
        <v>0.1</v>
      </c>
      <c r="J43" s="61" t="s">
        <v>79</v>
      </c>
      <c r="K43" s="61" t="s">
        <v>80</v>
      </c>
      <c r="L43" s="37">
        <v>44182</v>
      </c>
      <c r="M43" s="62">
        <v>44184</v>
      </c>
      <c r="N43" s="63">
        <v>14</v>
      </c>
      <c r="O43" s="64">
        <f>IF(COV_CASE[[#This Row],[Isolation Period (In Days)]]="","",COV_CASE[[#This Row],[Isolation Date]]+COV_CASE[[#This Row],[Isolation Period (In Days)]])</f>
        <v>44198</v>
      </c>
      <c r="P43" s="70">
        <f ca="1">IFERROR(IF(COV_CASE[[#This Row],[Isolation Ending Date]]="","",IF(TODAY()&gt;COV_CASE[[#This Row],[Isolation Ending Date]],0,COV_CASE[[#This Row],[Isolation Ending Date]]-TODAY())),"")</f>
        <v>0</v>
      </c>
      <c r="Q43" s="65">
        <f ca="1">IF(COV_CASE[[#This Row],[Remain Days]]="","",(COV_CASE[[#This Row],[Isolation Period (In Days)]]-COV_CASE[[#This Row],[Remain Days]])/COV_CASE[[#This Row],[Isolation Period (In Days)]])</f>
        <v>1</v>
      </c>
      <c r="R43" s="63" t="str">
        <f ca="1">IF(COV_CASE[[#This Row],[Isolating Completion%]]=1,"",1)</f>
        <v/>
      </c>
      <c r="S43" s="62"/>
      <c r="T43" s="40"/>
      <c r="U43" s="37"/>
    </row>
    <row r="44" spans="1:21" x14ac:dyDescent="0.2">
      <c r="A44" s="49" t="str">
        <f t="shared" si="0"/>
        <v>New Case---&gt;</v>
      </c>
    </row>
    <row r="45" spans="1:21" x14ac:dyDescent="0.2">
      <c r="A45" s="49" t="str">
        <f t="shared" si="0"/>
        <v/>
      </c>
    </row>
    <row r="46" spans="1:21" x14ac:dyDescent="0.2">
      <c r="A46" s="49" t="str">
        <f t="shared" si="0"/>
        <v/>
      </c>
    </row>
    <row r="47" spans="1:21" x14ac:dyDescent="0.2">
      <c r="A47" s="49" t="str">
        <f t="shared" si="0"/>
        <v/>
      </c>
    </row>
    <row r="48" spans="1:21" x14ac:dyDescent="0.2">
      <c r="A48" s="49" t="str">
        <f t="shared" si="0"/>
        <v/>
      </c>
    </row>
    <row r="49" spans="1:1" x14ac:dyDescent="0.2">
      <c r="A49" s="49" t="str">
        <f t="shared" si="0"/>
        <v/>
      </c>
    </row>
    <row r="50" spans="1:1" x14ac:dyDescent="0.2">
      <c r="A50" s="49" t="str">
        <f t="shared" si="0"/>
        <v/>
      </c>
    </row>
    <row r="51" spans="1:1" x14ac:dyDescent="0.2">
      <c r="A51" s="49" t="str">
        <f t="shared" si="0"/>
        <v/>
      </c>
    </row>
    <row r="52" spans="1:1" x14ac:dyDescent="0.2">
      <c r="A52" s="49" t="str">
        <f t="shared" si="0"/>
        <v/>
      </c>
    </row>
    <row r="53" spans="1:1" x14ac:dyDescent="0.2">
      <c r="A53" s="49" t="str">
        <f t="shared" si="0"/>
        <v/>
      </c>
    </row>
    <row r="54" spans="1:1" x14ac:dyDescent="0.2">
      <c r="A54" s="49" t="str">
        <f t="shared" si="0"/>
        <v/>
      </c>
    </row>
    <row r="55" spans="1:1" x14ac:dyDescent="0.2">
      <c r="A55" s="49" t="str">
        <f t="shared" si="0"/>
        <v/>
      </c>
    </row>
    <row r="56" spans="1:1" x14ac:dyDescent="0.2">
      <c r="A56" s="49" t="str">
        <f t="shared" si="0"/>
        <v/>
      </c>
    </row>
    <row r="57" spans="1:1" x14ac:dyDescent="0.2">
      <c r="A57" s="49" t="str">
        <f t="shared" si="0"/>
        <v/>
      </c>
    </row>
    <row r="58" spans="1:1" x14ac:dyDescent="0.2">
      <c r="A58" s="49" t="str">
        <f t="shared" si="0"/>
        <v/>
      </c>
    </row>
    <row r="59" spans="1:1" x14ac:dyDescent="0.2">
      <c r="A59" s="49" t="str">
        <f t="shared" si="0"/>
        <v/>
      </c>
    </row>
    <row r="60" spans="1:1" x14ac:dyDescent="0.2">
      <c r="A60" s="49" t="str">
        <f t="shared" si="0"/>
        <v/>
      </c>
    </row>
    <row r="61" spans="1:1" x14ac:dyDescent="0.2">
      <c r="A61" s="49" t="str">
        <f t="shared" si="0"/>
        <v/>
      </c>
    </row>
    <row r="62" spans="1:1" x14ac:dyDescent="0.2">
      <c r="A62" s="49" t="str">
        <f t="shared" si="0"/>
        <v/>
      </c>
    </row>
    <row r="63" spans="1:1" x14ac:dyDescent="0.2">
      <c r="A63" s="49" t="str">
        <f t="shared" si="0"/>
        <v/>
      </c>
    </row>
    <row r="64" spans="1:1" x14ac:dyDescent="0.2">
      <c r="A64" s="49" t="str">
        <f t="shared" si="0"/>
        <v/>
      </c>
    </row>
    <row r="65" spans="1:1" x14ac:dyDescent="0.2">
      <c r="A65" s="49" t="str">
        <f t="shared" si="0"/>
        <v/>
      </c>
    </row>
    <row r="66" spans="1:1" x14ac:dyDescent="0.2">
      <c r="A66" s="49" t="str">
        <f t="shared" si="0"/>
        <v/>
      </c>
    </row>
    <row r="67" spans="1:1" x14ac:dyDescent="0.2">
      <c r="A67" s="49" t="str">
        <f t="shared" si="0"/>
        <v/>
      </c>
    </row>
    <row r="68" spans="1:1" x14ac:dyDescent="0.2">
      <c r="A68" s="49" t="str">
        <f t="shared" ref="A68:A131" si="1">IF(AND(B67&lt;&gt;"",B68=""),$A$2&amp;"---&gt;","")</f>
        <v/>
      </c>
    </row>
    <row r="69" spans="1:1" x14ac:dyDescent="0.2">
      <c r="A69" s="49" t="str">
        <f t="shared" si="1"/>
        <v/>
      </c>
    </row>
    <row r="70" spans="1:1" x14ac:dyDescent="0.2">
      <c r="A70" s="49" t="str">
        <f t="shared" si="1"/>
        <v/>
      </c>
    </row>
    <row r="71" spans="1:1" x14ac:dyDescent="0.2">
      <c r="A71" s="49" t="str">
        <f t="shared" si="1"/>
        <v/>
      </c>
    </row>
    <row r="72" spans="1:1" x14ac:dyDescent="0.2">
      <c r="A72" s="49" t="str">
        <f t="shared" si="1"/>
        <v/>
      </c>
    </row>
    <row r="73" spans="1:1" x14ac:dyDescent="0.2">
      <c r="A73" s="49" t="str">
        <f t="shared" si="1"/>
        <v/>
      </c>
    </row>
    <row r="74" spans="1:1" x14ac:dyDescent="0.2">
      <c r="A74" s="49" t="str">
        <f t="shared" si="1"/>
        <v/>
      </c>
    </row>
    <row r="75" spans="1:1" x14ac:dyDescent="0.2">
      <c r="A75" s="49" t="str">
        <f t="shared" si="1"/>
        <v/>
      </c>
    </row>
    <row r="76" spans="1:1" x14ac:dyDescent="0.2">
      <c r="A76" s="49" t="str">
        <f t="shared" si="1"/>
        <v/>
      </c>
    </row>
    <row r="77" spans="1:1" x14ac:dyDescent="0.2">
      <c r="A77" s="49" t="str">
        <f t="shared" si="1"/>
        <v/>
      </c>
    </row>
    <row r="78" spans="1:1" x14ac:dyDescent="0.2">
      <c r="A78" s="49" t="str">
        <f t="shared" si="1"/>
        <v/>
      </c>
    </row>
    <row r="79" spans="1:1" x14ac:dyDescent="0.2">
      <c r="A79" s="49" t="str">
        <f t="shared" si="1"/>
        <v/>
      </c>
    </row>
    <row r="80" spans="1:1" x14ac:dyDescent="0.2">
      <c r="A80" s="49" t="str">
        <f t="shared" si="1"/>
        <v/>
      </c>
    </row>
    <row r="81" spans="1:1" x14ac:dyDescent="0.2">
      <c r="A81" s="49" t="str">
        <f t="shared" si="1"/>
        <v/>
      </c>
    </row>
    <row r="82" spans="1:1" x14ac:dyDescent="0.2">
      <c r="A82" s="49" t="str">
        <f t="shared" si="1"/>
        <v/>
      </c>
    </row>
    <row r="83" spans="1:1" x14ac:dyDescent="0.2">
      <c r="A83" s="49" t="str">
        <f t="shared" si="1"/>
        <v/>
      </c>
    </row>
    <row r="84" spans="1:1" x14ac:dyDescent="0.2">
      <c r="A84" s="49" t="str">
        <f t="shared" si="1"/>
        <v/>
      </c>
    </row>
    <row r="85" spans="1:1" x14ac:dyDescent="0.2">
      <c r="A85" s="49" t="str">
        <f t="shared" si="1"/>
        <v/>
      </c>
    </row>
    <row r="86" spans="1:1" x14ac:dyDescent="0.2">
      <c r="A86" s="49" t="str">
        <f t="shared" si="1"/>
        <v/>
      </c>
    </row>
    <row r="87" spans="1:1" x14ac:dyDescent="0.2">
      <c r="A87" s="49" t="str">
        <f t="shared" si="1"/>
        <v/>
      </c>
    </row>
    <row r="88" spans="1:1" x14ac:dyDescent="0.2">
      <c r="A88" s="49" t="str">
        <f t="shared" si="1"/>
        <v/>
      </c>
    </row>
    <row r="89" spans="1:1" x14ac:dyDescent="0.2">
      <c r="A89" s="49" t="str">
        <f t="shared" si="1"/>
        <v/>
      </c>
    </row>
    <row r="90" spans="1:1" x14ac:dyDescent="0.2">
      <c r="A90" s="49" t="str">
        <f t="shared" si="1"/>
        <v/>
      </c>
    </row>
    <row r="91" spans="1:1" x14ac:dyDescent="0.2">
      <c r="A91" s="49" t="str">
        <f t="shared" si="1"/>
        <v/>
      </c>
    </row>
    <row r="92" spans="1:1" x14ac:dyDescent="0.2">
      <c r="A92" s="49" t="str">
        <f t="shared" si="1"/>
        <v/>
      </c>
    </row>
    <row r="93" spans="1:1" x14ac:dyDescent="0.2">
      <c r="A93" s="49" t="str">
        <f t="shared" si="1"/>
        <v/>
      </c>
    </row>
    <row r="94" spans="1:1" x14ac:dyDescent="0.2">
      <c r="A94" s="49" t="str">
        <f t="shared" si="1"/>
        <v/>
      </c>
    </row>
    <row r="95" spans="1:1" x14ac:dyDescent="0.2">
      <c r="A95" s="49" t="str">
        <f t="shared" si="1"/>
        <v/>
      </c>
    </row>
    <row r="96" spans="1:1" x14ac:dyDescent="0.2">
      <c r="A96" s="49" t="str">
        <f t="shared" si="1"/>
        <v/>
      </c>
    </row>
    <row r="97" spans="1:1" x14ac:dyDescent="0.2">
      <c r="A97" s="49" t="str">
        <f t="shared" si="1"/>
        <v/>
      </c>
    </row>
    <row r="98" spans="1:1" x14ac:dyDescent="0.2">
      <c r="A98" s="49" t="str">
        <f t="shared" si="1"/>
        <v/>
      </c>
    </row>
    <row r="99" spans="1:1" x14ac:dyDescent="0.2">
      <c r="A99" s="49" t="str">
        <f t="shared" si="1"/>
        <v/>
      </c>
    </row>
    <row r="100" spans="1:1" x14ac:dyDescent="0.2">
      <c r="A100" s="49" t="str">
        <f t="shared" si="1"/>
        <v/>
      </c>
    </row>
    <row r="101" spans="1:1" x14ac:dyDescent="0.2">
      <c r="A101" s="49" t="str">
        <f t="shared" si="1"/>
        <v/>
      </c>
    </row>
    <row r="102" spans="1:1" x14ac:dyDescent="0.2">
      <c r="A102" s="49" t="str">
        <f t="shared" si="1"/>
        <v/>
      </c>
    </row>
    <row r="103" spans="1:1" x14ac:dyDescent="0.2">
      <c r="A103" s="49" t="str">
        <f t="shared" si="1"/>
        <v/>
      </c>
    </row>
    <row r="104" spans="1:1" x14ac:dyDescent="0.2">
      <c r="A104" s="49" t="str">
        <f t="shared" si="1"/>
        <v/>
      </c>
    </row>
    <row r="105" spans="1:1" x14ac:dyDescent="0.2">
      <c r="A105" s="49" t="str">
        <f t="shared" si="1"/>
        <v/>
      </c>
    </row>
    <row r="106" spans="1:1" x14ac:dyDescent="0.2">
      <c r="A106" s="49" t="str">
        <f t="shared" si="1"/>
        <v/>
      </c>
    </row>
    <row r="107" spans="1:1" x14ac:dyDescent="0.2">
      <c r="A107" s="49" t="str">
        <f t="shared" si="1"/>
        <v/>
      </c>
    </row>
    <row r="108" spans="1:1" x14ac:dyDescent="0.2">
      <c r="A108" s="49" t="str">
        <f t="shared" si="1"/>
        <v/>
      </c>
    </row>
    <row r="109" spans="1:1" x14ac:dyDescent="0.2">
      <c r="A109" s="49" t="str">
        <f t="shared" si="1"/>
        <v/>
      </c>
    </row>
    <row r="110" spans="1:1" x14ac:dyDescent="0.2">
      <c r="A110" s="49" t="str">
        <f t="shared" si="1"/>
        <v/>
      </c>
    </row>
    <row r="111" spans="1:1" x14ac:dyDescent="0.2">
      <c r="A111" s="49" t="str">
        <f t="shared" si="1"/>
        <v/>
      </c>
    </row>
    <row r="112" spans="1:1" x14ac:dyDescent="0.2">
      <c r="A112" s="49" t="str">
        <f t="shared" si="1"/>
        <v/>
      </c>
    </row>
    <row r="113" spans="1:1" x14ac:dyDescent="0.2">
      <c r="A113" s="49" t="str">
        <f t="shared" si="1"/>
        <v/>
      </c>
    </row>
    <row r="114" spans="1:1" x14ac:dyDescent="0.2">
      <c r="A114" s="49" t="str">
        <f t="shared" si="1"/>
        <v/>
      </c>
    </row>
    <row r="115" spans="1:1" x14ac:dyDescent="0.2">
      <c r="A115" s="49" t="str">
        <f t="shared" si="1"/>
        <v/>
      </c>
    </row>
    <row r="116" spans="1:1" x14ac:dyDescent="0.2">
      <c r="A116" s="49" t="str">
        <f t="shared" si="1"/>
        <v/>
      </c>
    </row>
    <row r="117" spans="1:1" x14ac:dyDescent="0.2">
      <c r="A117" s="49" t="str">
        <f t="shared" si="1"/>
        <v/>
      </c>
    </row>
    <row r="118" spans="1:1" x14ac:dyDescent="0.2">
      <c r="A118" s="49" t="str">
        <f t="shared" si="1"/>
        <v/>
      </c>
    </row>
    <row r="119" spans="1:1" x14ac:dyDescent="0.2">
      <c r="A119" s="49" t="str">
        <f t="shared" si="1"/>
        <v/>
      </c>
    </row>
    <row r="120" spans="1:1" x14ac:dyDescent="0.2">
      <c r="A120" s="49" t="str">
        <f t="shared" si="1"/>
        <v/>
      </c>
    </row>
    <row r="121" spans="1:1" x14ac:dyDescent="0.2">
      <c r="A121" s="49" t="str">
        <f t="shared" si="1"/>
        <v/>
      </c>
    </row>
    <row r="122" spans="1:1" x14ac:dyDescent="0.2">
      <c r="A122" s="49" t="str">
        <f t="shared" si="1"/>
        <v/>
      </c>
    </row>
    <row r="123" spans="1:1" x14ac:dyDescent="0.2">
      <c r="A123" s="49" t="str">
        <f t="shared" si="1"/>
        <v/>
      </c>
    </row>
    <row r="124" spans="1:1" x14ac:dyDescent="0.2">
      <c r="A124" s="49" t="str">
        <f t="shared" si="1"/>
        <v/>
      </c>
    </row>
    <row r="125" spans="1:1" x14ac:dyDescent="0.2">
      <c r="A125" s="49" t="str">
        <f t="shared" si="1"/>
        <v/>
      </c>
    </row>
    <row r="126" spans="1:1" x14ac:dyDescent="0.2">
      <c r="A126" s="49" t="str">
        <f t="shared" si="1"/>
        <v/>
      </c>
    </row>
    <row r="127" spans="1:1" x14ac:dyDescent="0.2">
      <c r="A127" s="49" t="str">
        <f t="shared" si="1"/>
        <v/>
      </c>
    </row>
    <row r="128" spans="1:1" x14ac:dyDescent="0.2">
      <c r="A128" s="49" t="str">
        <f t="shared" si="1"/>
        <v/>
      </c>
    </row>
    <row r="129" spans="1:1" x14ac:dyDescent="0.2">
      <c r="A129" s="49" t="str">
        <f t="shared" si="1"/>
        <v/>
      </c>
    </row>
    <row r="130" spans="1:1" x14ac:dyDescent="0.2">
      <c r="A130" s="49" t="str">
        <f t="shared" si="1"/>
        <v/>
      </c>
    </row>
    <row r="131" spans="1:1" x14ac:dyDescent="0.2">
      <c r="A131" s="49" t="str">
        <f t="shared" si="1"/>
        <v/>
      </c>
    </row>
    <row r="132" spans="1:1" x14ac:dyDescent="0.2">
      <c r="A132" s="49" t="str">
        <f t="shared" ref="A132:A195" si="2">IF(AND(B131&lt;&gt;"",B132=""),$A$2&amp;"---&gt;","")</f>
        <v/>
      </c>
    </row>
    <row r="133" spans="1:1" x14ac:dyDescent="0.2">
      <c r="A133" s="49" t="str">
        <f t="shared" si="2"/>
        <v/>
      </c>
    </row>
    <row r="134" spans="1:1" x14ac:dyDescent="0.2">
      <c r="A134" s="49" t="str">
        <f t="shared" si="2"/>
        <v/>
      </c>
    </row>
    <row r="135" spans="1:1" x14ac:dyDescent="0.2">
      <c r="A135" s="49" t="str">
        <f t="shared" si="2"/>
        <v/>
      </c>
    </row>
    <row r="136" spans="1:1" x14ac:dyDescent="0.2">
      <c r="A136" s="49" t="str">
        <f t="shared" si="2"/>
        <v/>
      </c>
    </row>
    <row r="137" spans="1:1" x14ac:dyDescent="0.2">
      <c r="A137" s="49" t="str">
        <f t="shared" si="2"/>
        <v/>
      </c>
    </row>
    <row r="138" spans="1:1" x14ac:dyDescent="0.2">
      <c r="A138" s="49" t="str">
        <f t="shared" si="2"/>
        <v/>
      </c>
    </row>
    <row r="139" spans="1:1" x14ac:dyDescent="0.2">
      <c r="A139" s="49" t="str">
        <f t="shared" si="2"/>
        <v/>
      </c>
    </row>
    <row r="140" spans="1:1" x14ac:dyDescent="0.2">
      <c r="A140" s="49" t="str">
        <f t="shared" si="2"/>
        <v/>
      </c>
    </row>
    <row r="141" spans="1:1" x14ac:dyDescent="0.2">
      <c r="A141" s="49" t="str">
        <f t="shared" si="2"/>
        <v/>
      </c>
    </row>
    <row r="142" spans="1:1" x14ac:dyDescent="0.2">
      <c r="A142" s="49" t="str">
        <f t="shared" si="2"/>
        <v/>
      </c>
    </row>
    <row r="143" spans="1:1" x14ac:dyDescent="0.2">
      <c r="A143" s="49" t="str">
        <f t="shared" si="2"/>
        <v/>
      </c>
    </row>
    <row r="144" spans="1:1" x14ac:dyDescent="0.2">
      <c r="A144" s="49" t="str">
        <f t="shared" si="2"/>
        <v/>
      </c>
    </row>
    <row r="145" spans="1:1" x14ac:dyDescent="0.2">
      <c r="A145" s="49" t="str">
        <f t="shared" si="2"/>
        <v/>
      </c>
    </row>
    <row r="146" spans="1:1" x14ac:dyDescent="0.2">
      <c r="A146" s="49" t="str">
        <f t="shared" si="2"/>
        <v/>
      </c>
    </row>
    <row r="147" spans="1:1" x14ac:dyDescent="0.2">
      <c r="A147" s="49" t="str">
        <f t="shared" si="2"/>
        <v/>
      </c>
    </row>
    <row r="148" spans="1:1" x14ac:dyDescent="0.2">
      <c r="A148" s="49" t="str">
        <f t="shared" si="2"/>
        <v/>
      </c>
    </row>
    <row r="149" spans="1:1" x14ac:dyDescent="0.2">
      <c r="A149" s="49" t="str">
        <f t="shared" si="2"/>
        <v/>
      </c>
    </row>
    <row r="150" spans="1:1" x14ac:dyDescent="0.2">
      <c r="A150" s="49" t="str">
        <f t="shared" si="2"/>
        <v/>
      </c>
    </row>
    <row r="151" spans="1:1" x14ac:dyDescent="0.2">
      <c r="A151" s="49" t="str">
        <f t="shared" si="2"/>
        <v/>
      </c>
    </row>
    <row r="152" spans="1:1" x14ac:dyDescent="0.2">
      <c r="A152" s="49" t="str">
        <f t="shared" si="2"/>
        <v/>
      </c>
    </row>
    <row r="153" spans="1:1" x14ac:dyDescent="0.2">
      <c r="A153" s="49" t="str">
        <f t="shared" si="2"/>
        <v/>
      </c>
    </row>
    <row r="154" spans="1:1" x14ac:dyDescent="0.2">
      <c r="A154" s="49" t="str">
        <f t="shared" si="2"/>
        <v/>
      </c>
    </row>
    <row r="155" spans="1:1" x14ac:dyDescent="0.2">
      <c r="A155" s="49" t="str">
        <f t="shared" si="2"/>
        <v/>
      </c>
    </row>
    <row r="156" spans="1:1" x14ac:dyDescent="0.2">
      <c r="A156" s="49" t="str">
        <f t="shared" si="2"/>
        <v/>
      </c>
    </row>
    <row r="157" spans="1:1" x14ac:dyDescent="0.2">
      <c r="A157" s="49" t="str">
        <f t="shared" si="2"/>
        <v/>
      </c>
    </row>
    <row r="158" spans="1:1" x14ac:dyDescent="0.2">
      <c r="A158" s="49" t="str">
        <f t="shared" si="2"/>
        <v/>
      </c>
    </row>
    <row r="159" spans="1:1" x14ac:dyDescent="0.2">
      <c r="A159" s="49" t="str">
        <f t="shared" si="2"/>
        <v/>
      </c>
    </row>
    <row r="160" spans="1:1" x14ac:dyDescent="0.2">
      <c r="A160" s="49" t="str">
        <f t="shared" si="2"/>
        <v/>
      </c>
    </row>
    <row r="161" spans="1:1" x14ac:dyDescent="0.2">
      <c r="A161" s="49" t="str">
        <f t="shared" si="2"/>
        <v/>
      </c>
    </row>
    <row r="162" spans="1:1" x14ac:dyDescent="0.2">
      <c r="A162" s="49" t="str">
        <f t="shared" si="2"/>
        <v/>
      </c>
    </row>
    <row r="163" spans="1:1" x14ac:dyDescent="0.2">
      <c r="A163" s="49" t="str">
        <f t="shared" si="2"/>
        <v/>
      </c>
    </row>
    <row r="164" spans="1:1" x14ac:dyDescent="0.2">
      <c r="A164" s="49" t="str">
        <f t="shared" si="2"/>
        <v/>
      </c>
    </row>
    <row r="165" spans="1:1" x14ac:dyDescent="0.2">
      <c r="A165" s="49" t="str">
        <f t="shared" si="2"/>
        <v/>
      </c>
    </row>
    <row r="166" spans="1:1" x14ac:dyDescent="0.2">
      <c r="A166" s="49" t="str">
        <f t="shared" si="2"/>
        <v/>
      </c>
    </row>
    <row r="167" spans="1:1" x14ac:dyDescent="0.2">
      <c r="A167" s="49" t="str">
        <f t="shared" si="2"/>
        <v/>
      </c>
    </row>
    <row r="168" spans="1:1" x14ac:dyDescent="0.2">
      <c r="A168" s="49" t="str">
        <f t="shared" si="2"/>
        <v/>
      </c>
    </row>
    <row r="169" spans="1:1" x14ac:dyDescent="0.2">
      <c r="A169" s="49" t="str">
        <f t="shared" si="2"/>
        <v/>
      </c>
    </row>
    <row r="170" spans="1:1" x14ac:dyDescent="0.2">
      <c r="A170" s="49" t="str">
        <f t="shared" si="2"/>
        <v/>
      </c>
    </row>
    <row r="171" spans="1:1" x14ac:dyDescent="0.2">
      <c r="A171" s="49" t="str">
        <f t="shared" si="2"/>
        <v/>
      </c>
    </row>
    <row r="172" spans="1:1" x14ac:dyDescent="0.2">
      <c r="A172" s="49" t="str">
        <f t="shared" si="2"/>
        <v/>
      </c>
    </row>
    <row r="173" spans="1:1" x14ac:dyDescent="0.2">
      <c r="A173" s="49" t="str">
        <f t="shared" si="2"/>
        <v/>
      </c>
    </row>
    <row r="174" spans="1:1" x14ac:dyDescent="0.2">
      <c r="A174" s="49" t="str">
        <f t="shared" si="2"/>
        <v/>
      </c>
    </row>
    <row r="175" spans="1:1" x14ac:dyDescent="0.2">
      <c r="A175" s="49" t="str">
        <f t="shared" si="2"/>
        <v/>
      </c>
    </row>
    <row r="176" spans="1:1" x14ac:dyDescent="0.2">
      <c r="A176" s="49" t="str">
        <f t="shared" si="2"/>
        <v/>
      </c>
    </row>
    <row r="177" spans="1:1" x14ac:dyDescent="0.2">
      <c r="A177" s="49" t="str">
        <f t="shared" si="2"/>
        <v/>
      </c>
    </row>
    <row r="178" spans="1:1" x14ac:dyDescent="0.2">
      <c r="A178" s="49" t="str">
        <f t="shared" si="2"/>
        <v/>
      </c>
    </row>
    <row r="179" spans="1:1" x14ac:dyDescent="0.2">
      <c r="A179" s="49" t="str">
        <f t="shared" si="2"/>
        <v/>
      </c>
    </row>
    <row r="180" spans="1:1" x14ac:dyDescent="0.2">
      <c r="A180" s="49" t="str">
        <f t="shared" si="2"/>
        <v/>
      </c>
    </row>
    <row r="181" spans="1:1" x14ac:dyDescent="0.2">
      <c r="A181" s="49" t="str">
        <f t="shared" si="2"/>
        <v/>
      </c>
    </row>
    <row r="182" spans="1:1" x14ac:dyDescent="0.2">
      <c r="A182" s="49" t="str">
        <f t="shared" si="2"/>
        <v/>
      </c>
    </row>
    <row r="183" spans="1:1" x14ac:dyDescent="0.2">
      <c r="A183" s="49" t="str">
        <f t="shared" si="2"/>
        <v/>
      </c>
    </row>
    <row r="184" spans="1:1" x14ac:dyDescent="0.2">
      <c r="A184" s="49" t="str">
        <f t="shared" si="2"/>
        <v/>
      </c>
    </row>
    <row r="185" spans="1:1" x14ac:dyDescent="0.2">
      <c r="A185" s="49" t="str">
        <f t="shared" si="2"/>
        <v/>
      </c>
    </row>
    <row r="186" spans="1:1" x14ac:dyDescent="0.2">
      <c r="A186" s="49" t="str">
        <f t="shared" si="2"/>
        <v/>
      </c>
    </row>
    <row r="187" spans="1:1" x14ac:dyDescent="0.2">
      <c r="A187" s="49" t="str">
        <f t="shared" si="2"/>
        <v/>
      </c>
    </row>
    <row r="188" spans="1:1" x14ac:dyDescent="0.2">
      <c r="A188" s="49" t="str">
        <f t="shared" si="2"/>
        <v/>
      </c>
    </row>
    <row r="189" spans="1:1" x14ac:dyDescent="0.2">
      <c r="A189" s="49" t="str">
        <f t="shared" si="2"/>
        <v/>
      </c>
    </row>
    <row r="190" spans="1:1" x14ac:dyDescent="0.2">
      <c r="A190" s="49" t="str">
        <f t="shared" si="2"/>
        <v/>
      </c>
    </row>
    <row r="191" spans="1:1" x14ac:dyDescent="0.2">
      <c r="A191" s="49" t="str">
        <f t="shared" si="2"/>
        <v/>
      </c>
    </row>
    <row r="192" spans="1:1" x14ac:dyDescent="0.2">
      <c r="A192" s="49" t="str">
        <f t="shared" si="2"/>
        <v/>
      </c>
    </row>
    <row r="193" spans="1:1" x14ac:dyDescent="0.2">
      <c r="A193" s="49" t="str">
        <f t="shared" si="2"/>
        <v/>
      </c>
    </row>
    <row r="194" spans="1:1" x14ac:dyDescent="0.2">
      <c r="A194" s="49" t="str">
        <f t="shared" si="2"/>
        <v/>
      </c>
    </row>
    <row r="195" spans="1:1" x14ac:dyDescent="0.2">
      <c r="A195" s="49" t="str">
        <f t="shared" si="2"/>
        <v/>
      </c>
    </row>
    <row r="196" spans="1:1" x14ac:dyDescent="0.2">
      <c r="A196" s="49" t="str">
        <f t="shared" ref="A196:A259" si="3">IF(AND(B195&lt;&gt;"",B196=""),$A$2&amp;"---&gt;","")</f>
        <v/>
      </c>
    </row>
    <row r="197" spans="1:1" x14ac:dyDescent="0.2">
      <c r="A197" s="49" t="str">
        <f t="shared" si="3"/>
        <v/>
      </c>
    </row>
    <row r="198" spans="1:1" x14ac:dyDescent="0.2">
      <c r="A198" s="49" t="str">
        <f t="shared" si="3"/>
        <v/>
      </c>
    </row>
    <row r="199" spans="1:1" x14ac:dyDescent="0.2">
      <c r="A199" s="49" t="str">
        <f t="shared" si="3"/>
        <v/>
      </c>
    </row>
    <row r="200" spans="1:1" x14ac:dyDescent="0.2">
      <c r="A200" s="49" t="str">
        <f t="shared" si="3"/>
        <v/>
      </c>
    </row>
    <row r="201" spans="1:1" x14ac:dyDescent="0.2">
      <c r="A201" s="49" t="str">
        <f t="shared" si="3"/>
        <v/>
      </c>
    </row>
    <row r="202" spans="1:1" x14ac:dyDescent="0.2">
      <c r="A202" s="49" t="str">
        <f t="shared" si="3"/>
        <v/>
      </c>
    </row>
    <row r="203" spans="1:1" x14ac:dyDescent="0.2">
      <c r="A203" s="49" t="str">
        <f t="shared" si="3"/>
        <v/>
      </c>
    </row>
    <row r="204" spans="1:1" x14ac:dyDescent="0.2">
      <c r="A204" s="49" t="str">
        <f t="shared" si="3"/>
        <v/>
      </c>
    </row>
    <row r="205" spans="1:1" x14ac:dyDescent="0.2">
      <c r="A205" s="49" t="str">
        <f t="shared" si="3"/>
        <v/>
      </c>
    </row>
    <row r="206" spans="1:1" x14ac:dyDescent="0.2">
      <c r="A206" s="49" t="str">
        <f t="shared" si="3"/>
        <v/>
      </c>
    </row>
    <row r="207" spans="1:1" x14ac:dyDescent="0.2">
      <c r="A207" s="49" t="str">
        <f t="shared" si="3"/>
        <v/>
      </c>
    </row>
    <row r="208" spans="1:1" x14ac:dyDescent="0.2">
      <c r="A208" s="49" t="str">
        <f t="shared" si="3"/>
        <v/>
      </c>
    </row>
    <row r="209" spans="1:1" x14ac:dyDescent="0.2">
      <c r="A209" s="49" t="str">
        <f t="shared" si="3"/>
        <v/>
      </c>
    </row>
    <row r="210" spans="1:1" x14ac:dyDescent="0.2">
      <c r="A210" s="49" t="str">
        <f t="shared" si="3"/>
        <v/>
      </c>
    </row>
    <row r="211" spans="1:1" x14ac:dyDescent="0.2">
      <c r="A211" s="49" t="str">
        <f t="shared" si="3"/>
        <v/>
      </c>
    </row>
    <row r="212" spans="1:1" x14ac:dyDescent="0.2">
      <c r="A212" s="49" t="str">
        <f t="shared" si="3"/>
        <v/>
      </c>
    </row>
    <row r="213" spans="1:1" x14ac:dyDescent="0.2">
      <c r="A213" s="49" t="str">
        <f t="shared" si="3"/>
        <v/>
      </c>
    </row>
    <row r="214" spans="1:1" x14ac:dyDescent="0.2">
      <c r="A214" s="49" t="str">
        <f t="shared" si="3"/>
        <v/>
      </c>
    </row>
    <row r="215" spans="1:1" x14ac:dyDescent="0.2">
      <c r="A215" s="49" t="str">
        <f t="shared" si="3"/>
        <v/>
      </c>
    </row>
    <row r="216" spans="1:1" x14ac:dyDescent="0.2">
      <c r="A216" s="49" t="str">
        <f t="shared" si="3"/>
        <v/>
      </c>
    </row>
    <row r="217" spans="1:1" x14ac:dyDescent="0.2">
      <c r="A217" s="49" t="str">
        <f t="shared" si="3"/>
        <v/>
      </c>
    </row>
    <row r="218" spans="1:1" x14ac:dyDescent="0.2">
      <c r="A218" s="49" t="str">
        <f t="shared" si="3"/>
        <v/>
      </c>
    </row>
    <row r="219" spans="1:1" x14ac:dyDescent="0.2">
      <c r="A219" s="49" t="str">
        <f t="shared" si="3"/>
        <v/>
      </c>
    </row>
    <row r="220" spans="1:1" x14ac:dyDescent="0.2">
      <c r="A220" s="49" t="str">
        <f t="shared" si="3"/>
        <v/>
      </c>
    </row>
    <row r="221" spans="1:1" x14ac:dyDescent="0.2">
      <c r="A221" s="49" t="str">
        <f t="shared" si="3"/>
        <v/>
      </c>
    </row>
    <row r="222" spans="1:1" x14ac:dyDescent="0.2">
      <c r="A222" s="49" t="str">
        <f t="shared" si="3"/>
        <v/>
      </c>
    </row>
    <row r="223" spans="1:1" x14ac:dyDescent="0.2">
      <c r="A223" s="49" t="str">
        <f t="shared" si="3"/>
        <v/>
      </c>
    </row>
    <row r="224" spans="1:1" x14ac:dyDescent="0.2">
      <c r="A224" s="49" t="str">
        <f t="shared" si="3"/>
        <v/>
      </c>
    </row>
    <row r="225" spans="1:1" x14ac:dyDescent="0.2">
      <c r="A225" s="49" t="str">
        <f t="shared" si="3"/>
        <v/>
      </c>
    </row>
    <row r="226" spans="1:1" x14ac:dyDescent="0.2">
      <c r="A226" s="49" t="str">
        <f t="shared" si="3"/>
        <v/>
      </c>
    </row>
    <row r="227" spans="1:1" x14ac:dyDescent="0.2">
      <c r="A227" s="49" t="str">
        <f t="shared" si="3"/>
        <v/>
      </c>
    </row>
    <row r="228" spans="1:1" x14ac:dyDescent="0.2">
      <c r="A228" s="49" t="str">
        <f t="shared" si="3"/>
        <v/>
      </c>
    </row>
    <row r="229" spans="1:1" x14ac:dyDescent="0.2">
      <c r="A229" s="49" t="str">
        <f t="shared" si="3"/>
        <v/>
      </c>
    </row>
    <row r="230" spans="1:1" x14ac:dyDescent="0.2">
      <c r="A230" s="49" t="str">
        <f t="shared" si="3"/>
        <v/>
      </c>
    </row>
    <row r="231" spans="1:1" x14ac:dyDescent="0.2">
      <c r="A231" s="49" t="str">
        <f t="shared" si="3"/>
        <v/>
      </c>
    </row>
    <row r="232" spans="1:1" x14ac:dyDescent="0.2">
      <c r="A232" s="49" t="str">
        <f t="shared" si="3"/>
        <v/>
      </c>
    </row>
    <row r="233" spans="1:1" x14ac:dyDescent="0.2">
      <c r="A233" s="49" t="str">
        <f t="shared" si="3"/>
        <v/>
      </c>
    </row>
    <row r="234" spans="1:1" x14ac:dyDescent="0.2">
      <c r="A234" s="49" t="str">
        <f t="shared" si="3"/>
        <v/>
      </c>
    </row>
    <row r="235" spans="1:1" x14ac:dyDescent="0.2">
      <c r="A235" s="49" t="str">
        <f t="shared" si="3"/>
        <v/>
      </c>
    </row>
    <row r="236" spans="1:1" x14ac:dyDescent="0.2">
      <c r="A236" s="49" t="str">
        <f t="shared" si="3"/>
        <v/>
      </c>
    </row>
    <row r="237" spans="1:1" x14ac:dyDescent="0.2">
      <c r="A237" s="49" t="str">
        <f t="shared" si="3"/>
        <v/>
      </c>
    </row>
    <row r="238" spans="1:1" x14ac:dyDescent="0.2">
      <c r="A238" s="49" t="str">
        <f t="shared" si="3"/>
        <v/>
      </c>
    </row>
    <row r="239" spans="1:1" x14ac:dyDescent="0.2">
      <c r="A239" s="49" t="str">
        <f t="shared" si="3"/>
        <v/>
      </c>
    </row>
    <row r="240" spans="1:1" x14ac:dyDescent="0.2">
      <c r="A240" s="49" t="str">
        <f t="shared" si="3"/>
        <v/>
      </c>
    </row>
    <row r="241" spans="1:1" x14ac:dyDescent="0.2">
      <c r="A241" s="49" t="str">
        <f t="shared" si="3"/>
        <v/>
      </c>
    </row>
    <row r="242" spans="1:1" x14ac:dyDescent="0.2">
      <c r="A242" s="49" t="str">
        <f t="shared" si="3"/>
        <v/>
      </c>
    </row>
    <row r="243" spans="1:1" x14ac:dyDescent="0.2">
      <c r="A243" s="49" t="str">
        <f t="shared" si="3"/>
        <v/>
      </c>
    </row>
    <row r="244" spans="1:1" x14ac:dyDescent="0.2">
      <c r="A244" s="49" t="str">
        <f t="shared" si="3"/>
        <v/>
      </c>
    </row>
    <row r="245" spans="1:1" x14ac:dyDescent="0.2">
      <c r="A245" s="49" t="str">
        <f t="shared" si="3"/>
        <v/>
      </c>
    </row>
    <row r="246" spans="1:1" x14ac:dyDescent="0.2">
      <c r="A246" s="49" t="str">
        <f t="shared" si="3"/>
        <v/>
      </c>
    </row>
    <row r="247" spans="1:1" x14ac:dyDescent="0.2">
      <c r="A247" s="49" t="str">
        <f t="shared" si="3"/>
        <v/>
      </c>
    </row>
    <row r="248" spans="1:1" x14ac:dyDescent="0.2">
      <c r="A248" s="49" t="str">
        <f t="shared" si="3"/>
        <v/>
      </c>
    </row>
    <row r="249" spans="1:1" x14ac:dyDescent="0.2">
      <c r="A249" s="49" t="str">
        <f t="shared" si="3"/>
        <v/>
      </c>
    </row>
    <row r="250" spans="1:1" x14ac:dyDescent="0.2">
      <c r="A250" s="49" t="str">
        <f t="shared" si="3"/>
        <v/>
      </c>
    </row>
    <row r="251" spans="1:1" x14ac:dyDescent="0.2">
      <c r="A251" s="49" t="str">
        <f t="shared" si="3"/>
        <v/>
      </c>
    </row>
    <row r="252" spans="1:1" x14ac:dyDescent="0.2">
      <c r="A252" s="49" t="str">
        <f t="shared" si="3"/>
        <v/>
      </c>
    </row>
    <row r="253" spans="1:1" x14ac:dyDescent="0.2">
      <c r="A253" s="49" t="str">
        <f t="shared" si="3"/>
        <v/>
      </c>
    </row>
    <row r="254" spans="1:1" x14ac:dyDescent="0.2">
      <c r="A254" s="49" t="str">
        <f t="shared" si="3"/>
        <v/>
      </c>
    </row>
    <row r="255" spans="1:1" x14ac:dyDescent="0.2">
      <c r="A255" s="49" t="str">
        <f t="shared" si="3"/>
        <v/>
      </c>
    </row>
    <row r="256" spans="1:1" x14ac:dyDescent="0.2">
      <c r="A256" s="49" t="str">
        <f t="shared" si="3"/>
        <v/>
      </c>
    </row>
    <row r="257" spans="1:1" x14ac:dyDescent="0.2">
      <c r="A257" s="49" t="str">
        <f t="shared" si="3"/>
        <v/>
      </c>
    </row>
    <row r="258" spans="1:1" x14ac:dyDescent="0.2">
      <c r="A258" s="49" t="str">
        <f t="shared" si="3"/>
        <v/>
      </c>
    </row>
    <row r="259" spans="1:1" x14ac:dyDescent="0.2">
      <c r="A259" s="49" t="str">
        <f t="shared" si="3"/>
        <v/>
      </c>
    </row>
    <row r="260" spans="1:1" x14ac:dyDescent="0.2">
      <c r="A260" s="49" t="str">
        <f t="shared" ref="A260:A323" si="4">IF(AND(B259&lt;&gt;"",B260=""),$A$2&amp;"---&gt;","")</f>
        <v/>
      </c>
    </row>
    <row r="261" spans="1:1" x14ac:dyDescent="0.2">
      <c r="A261" s="49" t="str">
        <f t="shared" si="4"/>
        <v/>
      </c>
    </row>
    <row r="262" spans="1:1" x14ac:dyDescent="0.2">
      <c r="A262" s="49" t="str">
        <f t="shared" si="4"/>
        <v/>
      </c>
    </row>
    <row r="263" spans="1:1" x14ac:dyDescent="0.2">
      <c r="A263" s="49" t="str">
        <f t="shared" si="4"/>
        <v/>
      </c>
    </row>
    <row r="264" spans="1:1" x14ac:dyDescent="0.2">
      <c r="A264" s="49" t="str">
        <f t="shared" si="4"/>
        <v/>
      </c>
    </row>
    <row r="265" spans="1:1" x14ac:dyDescent="0.2">
      <c r="A265" s="49" t="str">
        <f t="shared" si="4"/>
        <v/>
      </c>
    </row>
    <row r="266" spans="1:1" x14ac:dyDescent="0.2">
      <c r="A266" s="49" t="str">
        <f t="shared" si="4"/>
        <v/>
      </c>
    </row>
    <row r="267" spans="1:1" x14ac:dyDescent="0.2">
      <c r="A267" s="49" t="str">
        <f t="shared" si="4"/>
        <v/>
      </c>
    </row>
    <row r="268" spans="1:1" x14ac:dyDescent="0.2">
      <c r="A268" s="49" t="str">
        <f t="shared" si="4"/>
        <v/>
      </c>
    </row>
    <row r="269" spans="1:1" x14ac:dyDescent="0.2">
      <c r="A269" s="49" t="str">
        <f t="shared" si="4"/>
        <v/>
      </c>
    </row>
    <row r="270" spans="1:1" x14ac:dyDescent="0.2">
      <c r="A270" s="49" t="str">
        <f t="shared" si="4"/>
        <v/>
      </c>
    </row>
    <row r="271" spans="1:1" x14ac:dyDescent="0.2">
      <c r="A271" s="49" t="str">
        <f t="shared" si="4"/>
        <v/>
      </c>
    </row>
    <row r="272" spans="1:1" x14ac:dyDescent="0.2">
      <c r="A272" s="49" t="str">
        <f t="shared" si="4"/>
        <v/>
      </c>
    </row>
    <row r="273" spans="1:1" x14ac:dyDescent="0.2">
      <c r="A273" s="49" t="str">
        <f t="shared" si="4"/>
        <v/>
      </c>
    </row>
    <row r="274" spans="1:1" x14ac:dyDescent="0.2">
      <c r="A274" s="49" t="str">
        <f t="shared" si="4"/>
        <v/>
      </c>
    </row>
    <row r="275" spans="1:1" x14ac:dyDescent="0.2">
      <c r="A275" s="49" t="str">
        <f t="shared" si="4"/>
        <v/>
      </c>
    </row>
    <row r="276" spans="1:1" x14ac:dyDescent="0.2">
      <c r="A276" s="49" t="str">
        <f t="shared" si="4"/>
        <v/>
      </c>
    </row>
    <row r="277" spans="1:1" x14ac:dyDescent="0.2">
      <c r="A277" s="49" t="str">
        <f t="shared" si="4"/>
        <v/>
      </c>
    </row>
    <row r="278" spans="1:1" x14ac:dyDescent="0.2">
      <c r="A278" s="49" t="str">
        <f t="shared" si="4"/>
        <v/>
      </c>
    </row>
    <row r="279" spans="1:1" x14ac:dyDescent="0.2">
      <c r="A279" s="49" t="str">
        <f t="shared" si="4"/>
        <v/>
      </c>
    </row>
    <row r="280" spans="1:1" x14ac:dyDescent="0.2">
      <c r="A280" s="49" t="str">
        <f t="shared" si="4"/>
        <v/>
      </c>
    </row>
    <row r="281" spans="1:1" x14ac:dyDescent="0.2">
      <c r="A281" s="49" t="str">
        <f t="shared" si="4"/>
        <v/>
      </c>
    </row>
    <row r="282" spans="1:1" x14ac:dyDescent="0.2">
      <c r="A282" s="49" t="str">
        <f t="shared" si="4"/>
        <v/>
      </c>
    </row>
    <row r="283" spans="1:1" x14ac:dyDescent="0.2">
      <c r="A283" s="49" t="str">
        <f t="shared" si="4"/>
        <v/>
      </c>
    </row>
    <row r="284" spans="1:1" x14ac:dyDescent="0.2">
      <c r="A284" s="49" t="str">
        <f t="shared" si="4"/>
        <v/>
      </c>
    </row>
    <row r="285" spans="1:1" x14ac:dyDescent="0.2">
      <c r="A285" s="49" t="str">
        <f t="shared" si="4"/>
        <v/>
      </c>
    </row>
    <row r="286" spans="1:1" x14ac:dyDescent="0.2">
      <c r="A286" s="49" t="str">
        <f t="shared" si="4"/>
        <v/>
      </c>
    </row>
    <row r="287" spans="1:1" x14ac:dyDescent="0.2">
      <c r="A287" s="49" t="str">
        <f t="shared" si="4"/>
        <v/>
      </c>
    </row>
    <row r="288" spans="1:1" x14ac:dyDescent="0.2">
      <c r="A288" s="49" t="str">
        <f t="shared" si="4"/>
        <v/>
      </c>
    </row>
    <row r="289" spans="1:1" x14ac:dyDescent="0.2">
      <c r="A289" s="49" t="str">
        <f t="shared" si="4"/>
        <v/>
      </c>
    </row>
    <row r="290" spans="1:1" x14ac:dyDescent="0.2">
      <c r="A290" s="49" t="str">
        <f t="shared" si="4"/>
        <v/>
      </c>
    </row>
    <row r="291" spans="1:1" x14ac:dyDescent="0.2">
      <c r="A291" s="49" t="str">
        <f t="shared" si="4"/>
        <v/>
      </c>
    </row>
    <row r="292" spans="1:1" x14ac:dyDescent="0.2">
      <c r="A292" s="49" t="str">
        <f t="shared" si="4"/>
        <v/>
      </c>
    </row>
    <row r="293" spans="1:1" x14ac:dyDescent="0.2">
      <c r="A293" s="49" t="str">
        <f t="shared" si="4"/>
        <v/>
      </c>
    </row>
    <row r="294" spans="1:1" x14ac:dyDescent="0.2">
      <c r="A294" s="49" t="str">
        <f t="shared" si="4"/>
        <v/>
      </c>
    </row>
    <row r="295" spans="1:1" x14ac:dyDescent="0.2">
      <c r="A295" s="49" t="str">
        <f t="shared" si="4"/>
        <v/>
      </c>
    </row>
    <row r="296" spans="1:1" x14ac:dyDescent="0.2">
      <c r="A296" s="49" t="str">
        <f t="shared" si="4"/>
        <v/>
      </c>
    </row>
    <row r="297" spans="1:1" x14ac:dyDescent="0.2">
      <c r="A297" s="49" t="str">
        <f t="shared" si="4"/>
        <v/>
      </c>
    </row>
    <row r="298" spans="1:1" x14ac:dyDescent="0.2">
      <c r="A298" s="49" t="str">
        <f t="shared" si="4"/>
        <v/>
      </c>
    </row>
    <row r="299" spans="1:1" x14ac:dyDescent="0.2">
      <c r="A299" s="49" t="str">
        <f t="shared" si="4"/>
        <v/>
      </c>
    </row>
    <row r="300" spans="1:1" x14ac:dyDescent="0.2">
      <c r="A300" s="49" t="str">
        <f t="shared" si="4"/>
        <v/>
      </c>
    </row>
    <row r="301" spans="1:1" x14ac:dyDescent="0.2">
      <c r="A301" s="49" t="str">
        <f t="shared" si="4"/>
        <v/>
      </c>
    </row>
    <row r="302" spans="1:1" x14ac:dyDescent="0.2">
      <c r="A302" s="49" t="str">
        <f t="shared" si="4"/>
        <v/>
      </c>
    </row>
    <row r="303" spans="1:1" x14ac:dyDescent="0.2">
      <c r="A303" s="49" t="str">
        <f t="shared" si="4"/>
        <v/>
      </c>
    </row>
    <row r="304" spans="1:1" x14ac:dyDescent="0.2">
      <c r="A304" s="49" t="str">
        <f t="shared" si="4"/>
        <v/>
      </c>
    </row>
    <row r="305" spans="1:1" x14ac:dyDescent="0.2">
      <c r="A305" s="49" t="str">
        <f t="shared" si="4"/>
        <v/>
      </c>
    </row>
    <row r="306" spans="1:1" x14ac:dyDescent="0.2">
      <c r="A306" s="49" t="str">
        <f t="shared" si="4"/>
        <v/>
      </c>
    </row>
    <row r="307" spans="1:1" x14ac:dyDescent="0.2">
      <c r="A307" s="49" t="str">
        <f t="shared" si="4"/>
        <v/>
      </c>
    </row>
    <row r="308" spans="1:1" x14ac:dyDescent="0.2">
      <c r="A308" s="49" t="str">
        <f t="shared" si="4"/>
        <v/>
      </c>
    </row>
    <row r="309" spans="1:1" x14ac:dyDescent="0.2">
      <c r="A309" s="49" t="str">
        <f t="shared" si="4"/>
        <v/>
      </c>
    </row>
    <row r="310" spans="1:1" x14ac:dyDescent="0.2">
      <c r="A310" s="49" t="str">
        <f t="shared" si="4"/>
        <v/>
      </c>
    </row>
    <row r="311" spans="1:1" x14ac:dyDescent="0.2">
      <c r="A311" s="49" t="str">
        <f t="shared" si="4"/>
        <v/>
      </c>
    </row>
    <row r="312" spans="1:1" x14ac:dyDescent="0.2">
      <c r="A312" s="49" t="str">
        <f t="shared" si="4"/>
        <v/>
      </c>
    </row>
    <row r="313" spans="1:1" x14ac:dyDescent="0.2">
      <c r="A313" s="49" t="str">
        <f t="shared" si="4"/>
        <v/>
      </c>
    </row>
    <row r="314" spans="1:1" x14ac:dyDescent="0.2">
      <c r="A314" s="49" t="str">
        <f t="shared" si="4"/>
        <v/>
      </c>
    </row>
    <row r="315" spans="1:1" x14ac:dyDescent="0.2">
      <c r="A315" s="49" t="str">
        <f t="shared" si="4"/>
        <v/>
      </c>
    </row>
    <row r="316" spans="1:1" x14ac:dyDescent="0.2">
      <c r="A316" s="49" t="str">
        <f t="shared" si="4"/>
        <v/>
      </c>
    </row>
    <row r="317" spans="1:1" x14ac:dyDescent="0.2">
      <c r="A317" s="49" t="str">
        <f t="shared" si="4"/>
        <v/>
      </c>
    </row>
    <row r="318" spans="1:1" x14ac:dyDescent="0.2">
      <c r="A318" s="49" t="str">
        <f t="shared" si="4"/>
        <v/>
      </c>
    </row>
    <row r="319" spans="1:1" x14ac:dyDescent="0.2">
      <c r="A319" s="49" t="str">
        <f t="shared" si="4"/>
        <v/>
      </c>
    </row>
    <row r="320" spans="1:1" x14ac:dyDescent="0.2">
      <c r="A320" s="49" t="str">
        <f t="shared" si="4"/>
        <v/>
      </c>
    </row>
    <row r="321" spans="1:1" x14ac:dyDescent="0.2">
      <c r="A321" s="49" t="str">
        <f t="shared" si="4"/>
        <v/>
      </c>
    </row>
    <row r="322" spans="1:1" x14ac:dyDescent="0.2">
      <c r="A322" s="49" t="str">
        <f t="shared" si="4"/>
        <v/>
      </c>
    </row>
    <row r="323" spans="1:1" x14ac:dyDescent="0.2">
      <c r="A323" s="49" t="str">
        <f t="shared" si="4"/>
        <v/>
      </c>
    </row>
    <row r="324" spans="1:1" x14ac:dyDescent="0.2">
      <c r="A324" s="49" t="str">
        <f t="shared" ref="A324:A387" si="5">IF(AND(B323&lt;&gt;"",B324=""),$A$2&amp;"---&gt;","")</f>
        <v/>
      </c>
    </row>
    <row r="325" spans="1:1" x14ac:dyDescent="0.2">
      <c r="A325" s="49" t="str">
        <f t="shared" si="5"/>
        <v/>
      </c>
    </row>
    <row r="326" spans="1:1" x14ac:dyDescent="0.2">
      <c r="A326" s="49" t="str">
        <f t="shared" si="5"/>
        <v/>
      </c>
    </row>
    <row r="327" spans="1:1" x14ac:dyDescent="0.2">
      <c r="A327" s="49" t="str">
        <f t="shared" si="5"/>
        <v/>
      </c>
    </row>
    <row r="328" spans="1:1" x14ac:dyDescent="0.2">
      <c r="A328" s="49" t="str">
        <f t="shared" si="5"/>
        <v/>
      </c>
    </row>
    <row r="329" spans="1:1" x14ac:dyDescent="0.2">
      <c r="A329" s="49" t="str">
        <f t="shared" si="5"/>
        <v/>
      </c>
    </row>
    <row r="330" spans="1:1" x14ac:dyDescent="0.2">
      <c r="A330" s="49" t="str">
        <f t="shared" si="5"/>
        <v/>
      </c>
    </row>
    <row r="331" spans="1:1" x14ac:dyDescent="0.2">
      <c r="A331" s="49" t="str">
        <f t="shared" si="5"/>
        <v/>
      </c>
    </row>
    <row r="332" spans="1:1" x14ac:dyDescent="0.2">
      <c r="A332" s="49" t="str">
        <f t="shared" si="5"/>
        <v/>
      </c>
    </row>
    <row r="333" spans="1:1" x14ac:dyDescent="0.2">
      <c r="A333" s="49" t="str">
        <f t="shared" si="5"/>
        <v/>
      </c>
    </row>
    <row r="334" spans="1:1" x14ac:dyDescent="0.2">
      <c r="A334" s="49" t="str">
        <f t="shared" si="5"/>
        <v/>
      </c>
    </row>
    <row r="335" spans="1:1" x14ac:dyDescent="0.2">
      <c r="A335" s="49" t="str">
        <f t="shared" si="5"/>
        <v/>
      </c>
    </row>
    <row r="336" spans="1:1" x14ac:dyDescent="0.2">
      <c r="A336" s="49" t="str">
        <f t="shared" si="5"/>
        <v/>
      </c>
    </row>
    <row r="337" spans="1:1" x14ac:dyDescent="0.2">
      <c r="A337" s="49" t="str">
        <f t="shared" si="5"/>
        <v/>
      </c>
    </row>
    <row r="338" spans="1:1" x14ac:dyDescent="0.2">
      <c r="A338" s="49" t="str">
        <f t="shared" si="5"/>
        <v/>
      </c>
    </row>
    <row r="339" spans="1:1" x14ac:dyDescent="0.2">
      <c r="A339" s="49" t="str">
        <f t="shared" si="5"/>
        <v/>
      </c>
    </row>
    <row r="340" spans="1:1" x14ac:dyDescent="0.2">
      <c r="A340" s="49" t="str">
        <f t="shared" si="5"/>
        <v/>
      </c>
    </row>
    <row r="341" spans="1:1" x14ac:dyDescent="0.2">
      <c r="A341" s="49" t="str">
        <f t="shared" si="5"/>
        <v/>
      </c>
    </row>
    <row r="342" spans="1:1" x14ac:dyDescent="0.2">
      <c r="A342" s="49" t="str">
        <f t="shared" si="5"/>
        <v/>
      </c>
    </row>
    <row r="343" spans="1:1" x14ac:dyDescent="0.2">
      <c r="A343" s="49" t="str">
        <f t="shared" si="5"/>
        <v/>
      </c>
    </row>
    <row r="344" spans="1:1" x14ac:dyDescent="0.2">
      <c r="A344" s="49" t="str">
        <f t="shared" si="5"/>
        <v/>
      </c>
    </row>
    <row r="345" spans="1:1" x14ac:dyDescent="0.2">
      <c r="A345" s="49" t="str">
        <f t="shared" si="5"/>
        <v/>
      </c>
    </row>
    <row r="346" spans="1:1" x14ac:dyDescent="0.2">
      <c r="A346" s="49" t="str">
        <f t="shared" si="5"/>
        <v/>
      </c>
    </row>
    <row r="347" spans="1:1" x14ac:dyDescent="0.2">
      <c r="A347" s="49" t="str">
        <f t="shared" si="5"/>
        <v/>
      </c>
    </row>
    <row r="348" spans="1:1" x14ac:dyDescent="0.2">
      <c r="A348" s="49" t="str">
        <f t="shared" si="5"/>
        <v/>
      </c>
    </row>
    <row r="349" spans="1:1" x14ac:dyDescent="0.2">
      <c r="A349" s="49" t="str">
        <f t="shared" si="5"/>
        <v/>
      </c>
    </row>
    <row r="350" spans="1:1" x14ac:dyDescent="0.2">
      <c r="A350" s="49" t="str">
        <f t="shared" si="5"/>
        <v/>
      </c>
    </row>
    <row r="351" spans="1:1" x14ac:dyDescent="0.2">
      <c r="A351" s="49" t="str">
        <f t="shared" si="5"/>
        <v/>
      </c>
    </row>
    <row r="352" spans="1:1" x14ac:dyDescent="0.2">
      <c r="A352" s="49" t="str">
        <f t="shared" si="5"/>
        <v/>
      </c>
    </row>
    <row r="353" spans="1:1" x14ac:dyDescent="0.2">
      <c r="A353" s="49" t="str">
        <f t="shared" si="5"/>
        <v/>
      </c>
    </row>
    <row r="354" spans="1:1" x14ac:dyDescent="0.2">
      <c r="A354" s="49" t="str">
        <f t="shared" si="5"/>
        <v/>
      </c>
    </row>
    <row r="355" spans="1:1" x14ac:dyDescent="0.2">
      <c r="A355" s="49" t="str">
        <f t="shared" si="5"/>
        <v/>
      </c>
    </row>
    <row r="356" spans="1:1" x14ac:dyDescent="0.2">
      <c r="A356" s="49" t="str">
        <f t="shared" si="5"/>
        <v/>
      </c>
    </row>
    <row r="357" spans="1:1" x14ac:dyDescent="0.2">
      <c r="A357" s="49" t="str">
        <f t="shared" si="5"/>
        <v/>
      </c>
    </row>
    <row r="358" spans="1:1" x14ac:dyDescent="0.2">
      <c r="A358" s="49" t="str">
        <f t="shared" si="5"/>
        <v/>
      </c>
    </row>
    <row r="359" spans="1:1" x14ac:dyDescent="0.2">
      <c r="A359" s="49" t="str">
        <f t="shared" si="5"/>
        <v/>
      </c>
    </row>
    <row r="360" spans="1:1" x14ac:dyDescent="0.2">
      <c r="A360" s="49" t="str">
        <f t="shared" si="5"/>
        <v/>
      </c>
    </row>
    <row r="361" spans="1:1" x14ac:dyDescent="0.2">
      <c r="A361" s="49" t="str">
        <f t="shared" si="5"/>
        <v/>
      </c>
    </row>
    <row r="362" spans="1:1" x14ac:dyDescent="0.2">
      <c r="A362" s="49" t="str">
        <f t="shared" si="5"/>
        <v/>
      </c>
    </row>
    <row r="363" spans="1:1" x14ac:dyDescent="0.2">
      <c r="A363" s="49" t="str">
        <f t="shared" si="5"/>
        <v/>
      </c>
    </row>
    <row r="364" spans="1:1" x14ac:dyDescent="0.2">
      <c r="A364" s="49" t="str">
        <f t="shared" si="5"/>
        <v/>
      </c>
    </row>
    <row r="365" spans="1:1" x14ac:dyDescent="0.2">
      <c r="A365" s="49" t="str">
        <f t="shared" si="5"/>
        <v/>
      </c>
    </row>
    <row r="366" spans="1:1" x14ac:dyDescent="0.2">
      <c r="A366" s="49" t="str">
        <f t="shared" si="5"/>
        <v/>
      </c>
    </row>
    <row r="367" spans="1:1" x14ac:dyDescent="0.2">
      <c r="A367" s="49" t="str">
        <f t="shared" si="5"/>
        <v/>
      </c>
    </row>
    <row r="368" spans="1:1" x14ac:dyDescent="0.2">
      <c r="A368" s="49" t="str">
        <f t="shared" si="5"/>
        <v/>
      </c>
    </row>
    <row r="369" spans="1:1" x14ac:dyDescent="0.2">
      <c r="A369" s="49" t="str">
        <f t="shared" si="5"/>
        <v/>
      </c>
    </row>
    <row r="370" spans="1:1" x14ac:dyDescent="0.2">
      <c r="A370" s="49" t="str">
        <f t="shared" si="5"/>
        <v/>
      </c>
    </row>
    <row r="371" spans="1:1" x14ac:dyDescent="0.2">
      <c r="A371" s="49" t="str">
        <f t="shared" si="5"/>
        <v/>
      </c>
    </row>
    <row r="372" spans="1:1" x14ac:dyDescent="0.2">
      <c r="A372" s="49" t="str">
        <f t="shared" si="5"/>
        <v/>
      </c>
    </row>
    <row r="373" spans="1:1" x14ac:dyDescent="0.2">
      <c r="A373" s="49" t="str">
        <f t="shared" si="5"/>
        <v/>
      </c>
    </row>
    <row r="374" spans="1:1" x14ac:dyDescent="0.2">
      <c r="A374" s="49" t="str">
        <f t="shared" si="5"/>
        <v/>
      </c>
    </row>
    <row r="375" spans="1:1" x14ac:dyDescent="0.2">
      <c r="A375" s="49" t="str">
        <f t="shared" si="5"/>
        <v/>
      </c>
    </row>
    <row r="376" spans="1:1" x14ac:dyDescent="0.2">
      <c r="A376" s="49" t="str">
        <f t="shared" si="5"/>
        <v/>
      </c>
    </row>
    <row r="377" spans="1:1" x14ac:dyDescent="0.2">
      <c r="A377" s="49" t="str">
        <f t="shared" si="5"/>
        <v/>
      </c>
    </row>
    <row r="378" spans="1:1" x14ac:dyDescent="0.2">
      <c r="A378" s="49" t="str">
        <f t="shared" si="5"/>
        <v/>
      </c>
    </row>
    <row r="379" spans="1:1" x14ac:dyDescent="0.2">
      <c r="A379" s="49" t="str">
        <f t="shared" si="5"/>
        <v/>
      </c>
    </row>
    <row r="380" spans="1:1" x14ac:dyDescent="0.2">
      <c r="A380" s="49" t="str">
        <f t="shared" si="5"/>
        <v/>
      </c>
    </row>
    <row r="381" spans="1:1" x14ac:dyDescent="0.2">
      <c r="A381" s="49" t="str">
        <f t="shared" si="5"/>
        <v/>
      </c>
    </row>
    <row r="382" spans="1:1" x14ac:dyDescent="0.2">
      <c r="A382" s="49" t="str">
        <f t="shared" si="5"/>
        <v/>
      </c>
    </row>
    <row r="383" spans="1:1" x14ac:dyDescent="0.2">
      <c r="A383" s="49" t="str">
        <f t="shared" si="5"/>
        <v/>
      </c>
    </row>
    <row r="384" spans="1:1" x14ac:dyDescent="0.2">
      <c r="A384" s="49" t="str">
        <f t="shared" si="5"/>
        <v/>
      </c>
    </row>
    <row r="385" spans="1:1" x14ac:dyDescent="0.2">
      <c r="A385" s="49" t="str">
        <f t="shared" si="5"/>
        <v/>
      </c>
    </row>
    <row r="386" spans="1:1" x14ac:dyDescent="0.2">
      <c r="A386" s="49" t="str">
        <f t="shared" si="5"/>
        <v/>
      </c>
    </row>
    <row r="387" spans="1:1" x14ac:dyDescent="0.2">
      <c r="A387" s="49" t="str">
        <f t="shared" si="5"/>
        <v/>
      </c>
    </row>
    <row r="388" spans="1:1" x14ac:dyDescent="0.2">
      <c r="A388" s="49" t="str">
        <f t="shared" ref="A388:A451" si="6">IF(AND(B387&lt;&gt;"",B388=""),$A$2&amp;"---&gt;","")</f>
        <v/>
      </c>
    </row>
    <row r="389" spans="1:1" x14ac:dyDescent="0.2">
      <c r="A389" s="49" t="str">
        <f t="shared" si="6"/>
        <v/>
      </c>
    </row>
    <row r="390" spans="1:1" x14ac:dyDescent="0.2">
      <c r="A390" s="49" t="str">
        <f t="shared" si="6"/>
        <v/>
      </c>
    </row>
    <row r="391" spans="1:1" x14ac:dyDescent="0.2">
      <c r="A391" s="49" t="str">
        <f t="shared" si="6"/>
        <v/>
      </c>
    </row>
    <row r="392" spans="1:1" x14ac:dyDescent="0.2">
      <c r="A392" s="49" t="str">
        <f t="shared" si="6"/>
        <v/>
      </c>
    </row>
    <row r="393" spans="1:1" x14ac:dyDescent="0.2">
      <c r="A393" s="49" t="str">
        <f t="shared" si="6"/>
        <v/>
      </c>
    </row>
    <row r="394" spans="1:1" x14ac:dyDescent="0.2">
      <c r="A394" s="49" t="str">
        <f t="shared" si="6"/>
        <v/>
      </c>
    </row>
    <row r="395" spans="1:1" x14ac:dyDescent="0.2">
      <c r="A395" s="49" t="str">
        <f t="shared" si="6"/>
        <v/>
      </c>
    </row>
    <row r="396" spans="1:1" x14ac:dyDescent="0.2">
      <c r="A396" s="49" t="str">
        <f t="shared" si="6"/>
        <v/>
      </c>
    </row>
    <row r="397" spans="1:1" x14ac:dyDescent="0.2">
      <c r="A397" s="49" t="str">
        <f t="shared" si="6"/>
        <v/>
      </c>
    </row>
    <row r="398" spans="1:1" x14ac:dyDescent="0.2">
      <c r="A398" s="49" t="str">
        <f t="shared" si="6"/>
        <v/>
      </c>
    </row>
    <row r="399" spans="1:1" x14ac:dyDescent="0.2">
      <c r="A399" s="49" t="str">
        <f t="shared" si="6"/>
        <v/>
      </c>
    </row>
    <row r="400" spans="1:1" x14ac:dyDescent="0.2">
      <c r="A400" s="49" t="str">
        <f t="shared" si="6"/>
        <v/>
      </c>
    </row>
    <row r="401" spans="1:1" x14ac:dyDescent="0.2">
      <c r="A401" s="49" t="str">
        <f t="shared" si="6"/>
        <v/>
      </c>
    </row>
    <row r="402" spans="1:1" x14ac:dyDescent="0.2">
      <c r="A402" s="49" t="str">
        <f t="shared" si="6"/>
        <v/>
      </c>
    </row>
    <row r="403" spans="1:1" x14ac:dyDescent="0.2">
      <c r="A403" s="49" t="str">
        <f t="shared" si="6"/>
        <v/>
      </c>
    </row>
    <row r="404" spans="1:1" x14ac:dyDescent="0.2">
      <c r="A404" s="49" t="str">
        <f t="shared" si="6"/>
        <v/>
      </c>
    </row>
    <row r="405" spans="1:1" x14ac:dyDescent="0.2">
      <c r="A405" s="49" t="str">
        <f t="shared" si="6"/>
        <v/>
      </c>
    </row>
    <row r="406" spans="1:1" x14ac:dyDescent="0.2">
      <c r="A406" s="49" t="str">
        <f t="shared" si="6"/>
        <v/>
      </c>
    </row>
    <row r="407" spans="1:1" x14ac:dyDescent="0.2">
      <c r="A407" s="49" t="str">
        <f t="shared" si="6"/>
        <v/>
      </c>
    </row>
    <row r="408" spans="1:1" x14ac:dyDescent="0.2">
      <c r="A408" s="49" t="str">
        <f t="shared" si="6"/>
        <v/>
      </c>
    </row>
    <row r="409" spans="1:1" x14ac:dyDescent="0.2">
      <c r="A409" s="49" t="str">
        <f t="shared" si="6"/>
        <v/>
      </c>
    </row>
    <row r="410" spans="1:1" x14ac:dyDescent="0.2">
      <c r="A410" s="49" t="str">
        <f t="shared" si="6"/>
        <v/>
      </c>
    </row>
    <row r="411" spans="1:1" x14ac:dyDescent="0.2">
      <c r="A411" s="49" t="str">
        <f t="shared" si="6"/>
        <v/>
      </c>
    </row>
    <row r="412" spans="1:1" x14ac:dyDescent="0.2">
      <c r="A412" s="49" t="str">
        <f t="shared" si="6"/>
        <v/>
      </c>
    </row>
    <row r="413" spans="1:1" x14ac:dyDescent="0.2">
      <c r="A413" s="49" t="str">
        <f t="shared" si="6"/>
        <v/>
      </c>
    </row>
    <row r="414" spans="1:1" x14ac:dyDescent="0.2">
      <c r="A414" s="49" t="str">
        <f t="shared" si="6"/>
        <v/>
      </c>
    </row>
    <row r="415" spans="1:1" x14ac:dyDescent="0.2">
      <c r="A415" s="49" t="str">
        <f t="shared" si="6"/>
        <v/>
      </c>
    </row>
    <row r="416" spans="1:1" x14ac:dyDescent="0.2">
      <c r="A416" s="49" t="str">
        <f t="shared" si="6"/>
        <v/>
      </c>
    </row>
    <row r="417" spans="1:1" x14ac:dyDescent="0.2">
      <c r="A417" s="49" t="str">
        <f t="shared" si="6"/>
        <v/>
      </c>
    </row>
    <row r="418" spans="1:1" x14ac:dyDescent="0.2">
      <c r="A418" s="49" t="str">
        <f t="shared" si="6"/>
        <v/>
      </c>
    </row>
    <row r="419" spans="1:1" x14ac:dyDescent="0.2">
      <c r="A419" s="49" t="str">
        <f t="shared" si="6"/>
        <v/>
      </c>
    </row>
    <row r="420" spans="1:1" x14ac:dyDescent="0.2">
      <c r="A420" s="49" t="str">
        <f t="shared" si="6"/>
        <v/>
      </c>
    </row>
    <row r="421" spans="1:1" x14ac:dyDescent="0.2">
      <c r="A421" s="49" t="str">
        <f t="shared" si="6"/>
        <v/>
      </c>
    </row>
    <row r="422" spans="1:1" x14ac:dyDescent="0.2">
      <c r="A422" s="49" t="str">
        <f t="shared" si="6"/>
        <v/>
      </c>
    </row>
    <row r="423" spans="1:1" x14ac:dyDescent="0.2">
      <c r="A423" s="49" t="str">
        <f t="shared" si="6"/>
        <v/>
      </c>
    </row>
    <row r="424" spans="1:1" x14ac:dyDescent="0.2">
      <c r="A424" s="49" t="str">
        <f t="shared" si="6"/>
        <v/>
      </c>
    </row>
    <row r="425" spans="1:1" x14ac:dyDescent="0.2">
      <c r="A425" s="49" t="str">
        <f t="shared" si="6"/>
        <v/>
      </c>
    </row>
    <row r="426" spans="1:1" x14ac:dyDescent="0.2">
      <c r="A426" s="49" t="str">
        <f t="shared" si="6"/>
        <v/>
      </c>
    </row>
    <row r="427" spans="1:1" x14ac:dyDescent="0.2">
      <c r="A427" s="49" t="str">
        <f t="shared" si="6"/>
        <v/>
      </c>
    </row>
    <row r="428" spans="1:1" x14ac:dyDescent="0.2">
      <c r="A428" s="49" t="str">
        <f t="shared" si="6"/>
        <v/>
      </c>
    </row>
    <row r="429" spans="1:1" x14ac:dyDescent="0.2">
      <c r="A429" s="49" t="str">
        <f t="shared" si="6"/>
        <v/>
      </c>
    </row>
    <row r="430" spans="1:1" x14ac:dyDescent="0.2">
      <c r="A430" s="49" t="str">
        <f t="shared" si="6"/>
        <v/>
      </c>
    </row>
    <row r="431" spans="1:1" x14ac:dyDescent="0.2">
      <c r="A431" s="49" t="str">
        <f t="shared" si="6"/>
        <v/>
      </c>
    </row>
    <row r="432" spans="1:1" x14ac:dyDescent="0.2">
      <c r="A432" s="49" t="str">
        <f t="shared" si="6"/>
        <v/>
      </c>
    </row>
    <row r="433" spans="1:1" x14ac:dyDescent="0.2">
      <c r="A433" s="49" t="str">
        <f t="shared" si="6"/>
        <v/>
      </c>
    </row>
    <row r="434" spans="1:1" x14ac:dyDescent="0.2">
      <c r="A434" s="49" t="str">
        <f t="shared" si="6"/>
        <v/>
      </c>
    </row>
    <row r="435" spans="1:1" x14ac:dyDescent="0.2">
      <c r="A435" s="49" t="str">
        <f t="shared" si="6"/>
        <v/>
      </c>
    </row>
    <row r="436" spans="1:1" x14ac:dyDescent="0.2">
      <c r="A436" s="49" t="str">
        <f t="shared" si="6"/>
        <v/>
      </c>
    </row>
    <row r="437" spans="1:1" x14ac:dyDescent="0.2">
      <c r="A437" s="49" t="str">
        <f t="shared" si="6"/>
        <v/>
      </c>
    </row>
    <row r="438" spans="1:1" x14ac:dyDescent="0.2">
      <c r="A438" s="49" t="str">
        <f t="shared" si="6"/>
        <v/>
      </c>
    </row>
    <row r="439" spans="1:1" x14ac:dyDescent="0.2">
      <c r="A439" s="49" t="str">
        <f t="shared" si="6"/>
        <v/>
      </c>
    </row>
    <row r="440" spans="1:1" x14ac:dyDescent="0.2">
      <c r="A440" s="49" t="str">
        <f t="shared" si="6"/>
        <v/>
      </c>
    </row>
    <row r="441" spans="1:1" x14ac:dyDescent="0.2">
      <c r="A441" s="49" t="str">
        <f t="shared" si="6"/>
        <v/>
      </c>
    </row>
    <row r="442" spans="1:1" x14ac:dyDescent="0.2">
      <c r="A442" s="49" t="str">
        <f t="shared" si="6"/>
        <v/>
      </c>
    </row>
    <row r="443" spans="1:1" x14ac:dyDescent="0.2">
      <c r="A443" s="49" t="str">
        <f t="shared" si="6"/>
        <v/>
      </c>
    </row>
    <row r="444" spans="1:1" x14ac:dyDescent="0.2">
      <c r="A444" s="49" t="str">
        <f t="shared" si="6"/>
        <v/>
      </c>
    </row>
    <row r="445" spans="1:1" x14ac:dyDescent="0.2">
      <c r="A445" s="49" t="str">
        <f t="shared" si="6"/>
        <v/>
      </c>
    </row>
    <row r="446" spans="1:1" x14ac:dyDescent="0.2">
      <c r="A446" s="49" t="str">
        <f t="shared" si="6"/>
        <v/>
      </c>
    </row>
    <row r="447" spans="1:1" x14ac:dyDescent="0.2">
      <c r="A447" s="49" t="str">
        <f t="shared" si="6"/>
        <v/>
      </c>
    </row>
    <row r="448" spans="1:1" x14ac:dyDescent="0.2">
      <c r="A448" s="49" t="str">
        <f t="shared" si="6"/>
        <v/>
      </c>
    </row>
    <row r="449" spans="1:1" x14ac:dyDescent="0.2">
      <c r="A449" s="49" t="str">
        <f t="shared" si="6"/>
        <v/>
      </c>
    </row>
    <row r="450" spans="1:1" x14ac:dyDescent="0.2">
      <c r="A450" s="49" t="str">
        <f t="shared" si="6"/>
        <v/>
      </c>
    </row>
    <row r="451" spans="1:1" x14ac:dyDescent="0.2">
      <c r="A451" s="49" t="str">
        <f t="shared" si="6"/>
        <v/>
      </c>
    </row>
    <row r="452" spans="1:1" x14ac:dyDescent="0.2">
      <c r="A452" s="49" t="str">
        <f t="shared" ref="A452:A515" si="7">IF(AND(B451&lt;&gt;"",B452=""),$A$2&amp;"---&gt;","")</f>
        <v/>
      </c>
    </row>
    <row r="453" spans="1:1" x14ac:dyDescent="0.2">
      <c r="A453" s="49" t="str">
        <f t="shared" si="7"/>
        <v/>
      </c>
    </row>
    <row r="454" spans="1:1" x14ac:dyDescent="0.2">
      <c r="A454" s="49" t="str">
        <f t="shared" si="7"/>
        <v/>
      </c>
    </row>
    <row r="455" spans="1:1" x14ac:dyDescent="0.2">
      <c r="A455" s="49" t="str">
        <f t="shared" si="7"/>
        <v/>
      </c>
    </row>
    <row r="456" spans="1:1" x14ac:dyDescent="0.2">
      <c r="A456" s="49" t="str">
        <f t="shared" si="7"/>
        <v/>
      </c>
    </row>
    <row r="457" spans="1:1" x14ac:dyDescent="0.2">
      <c r="A457" s="49" t="str">
        <f t="shared" si="7"/>
        <v/>
      </c>
    </row>
    <row r="458" spans="1:1" x14ac:dyDescent="0.2">
      <c r="A458" s="49" t="str">
        <f t="shared" si="7"/>
        <v/>
      </c>
    </row>
    <row r="459" spans="1:1" x14ac:dyDescent="0.2">
      <c r="A459" s="49" t="str">
        <f t="shared" si="7"/>
        <v/>
      </c>
    </row>
    <row r="460" spans="1:1" x14ac:dyDescent="0.2">
      <c r="A460" s="49" t="str">
        <f t="shared" si="7"/>
        <v/>
      </c>
    </row>
    <row r="461" spans="1:1" x14ac:dyDescent="0.2">
      <c r="A461" s="49" t="str">
        <f t="shared" si="7"/>
        <v/>
      </c>
    </row>
    <row r="462" spans="1:1" x14ac:dyDescent="0.2">
      <c r="A462" s="49" t="str">
        <f t="shared" si="7"/>
        <v/>
      </c>
    </row>
    <row r="463" spans="1:1" x14ac:dyDescent="0.2">
      <c r="A463" s="49" t="str">
        <f t="shared" si="7"/>
        <v/>
      </c>
    </row>
    <row r="464" spans="1:1" x14ac:dyDescent="0.2">
      <c r="A464" s="49" t="str">
        <f t="shared" si="7"/>
        <v/>
      </c>
    </row>
    <row r="465" spans="1:1" x14ac:dyDescent="0.2">
      <c r="A465" s="49" t="str">
        <f t="shared" si="7"/>
        <v/>
      </c>
    </row>
    <row r="466" spans="1:1" x14ac:dyDescent="0.2">
      <c r="A466" s="49" t="str">
        <f t="shared" si="7"/>
        <v/>
      </c>
    </row>
    <row r="467" spans="1:1" x14ac:dyDescent="0.2">
      <c r="A467" s="49" t="str">
        <f t="shared" si="7"/>
        <v/>
      </c>
    </row>
    <row r="468" spans="1:1" x14ac:dyDescent="0.2">
      <c r="A468" s="49" t="str">
        <f t="shared" si="7"/>
        <v/>
      </c>
    </row>
    <row r="469" spans="1:1" x14ac:dyDescent="0.2">
      <c r="A469" s="49" t="str">
        <f t="shared" si="7"/>
        <v/>
      </c>
    </row>
    <row r="470" spans="1:1" x14ac:dyDescent="0.2">
      <c r="A470" s="49" t="str">
        <f t="shared" si="7"/>
        <v/>
      </c>
    </row>
    <row r="471" spans="1:1" x14ac:dyDescent="0.2">
      <c r="A471" s="49" t="str">
        <f t="shared" si="7"/>
        <v/>
      </c>
    </row>
    <row r="472" spans="1:1" x14ac:dyDescent="0.2">
      <c r="A472" s="49" t="str">
        <f t="shared" si="7"/>
        <v/>
      </c>
    </row>
    <row r="473" spans="1:1" x14ac:dyDescent="0.2">
      <c r="A473" s="49" t="str">
        <f t="shared" si="7"/>
        <v/>
      </c>
    </row>
    <row r="474" spans="1:1" x14ac:dyDescent="0.2">
      <c r="A474" s="49" t="str">
        <f t="shared" si="7"/>
        <v/>
      </c>
    </row>
    <row r="475" spans="1:1" x14ac:dyDescent="0.2">
      <c r="A475" s="49" t="str">
        <f t="shared" si="7"/>
        <v/>
      </c>
    </row>
    <row r="476" spans="1:1" x14ac:dyDescent="0.2">
      <c r="A476" s="49" t="str">
        <f t="shared" si="7"/>
        <v/>
      </c>
    </row>
    <row r="477" spans="1:1" x14ac:dyDescent="0.2">
      <c r="A477" s="49" t="str">
        <f t="shared" si="7"/>
        <v/>
      </c>
    </row>
    <row r="478" spans="1:1" x14ac:dyDescent="0.2">
      <c r="A478" s="49" t="str">
        <f t="shared" si="7"/>
        <v/>
      </c>
    </row>
    <row r="479" spans="1:1" x14ac:dyDescent="0.2">
      <c r="A479" s="49" t="str">
        <f t="shared" si="7"/>
        <v/>
      </c>
    </row>
    <row r="480" spans="1:1" x14ac:dyDescent="0.2">
      <c r="A480" s="49" t="str">
        <f t="shared" si="7"/>
        <v/>
      </c>
    </row>
    <row r="481" spans="1:1" x14ac:dyDescent="0.2">
      <c r="A481" s="49" t="str">
        <f t="shared" si="7"/>
        <v/>
      </c>
    </row>
    <row r="482" spans="1:1" x14ac:dyDescent="0.2">
      <c r="A482" s="49" t="str">
        <f t="shared" si="7"/>
        <v/>
      </c>
    </row>
    <row r="483" spans="1:1" x14ac:dyDescent="0.2">
      <c r="A483" s="49" t="str">
        <f t="shared" si="7"/>
        <v/>
      </c>
    </row>
    <row r="484" spans="1:1" x14ac:dyDescent="0.2">
      <c r="A484" s="49" t="str">
        <f t="shared" si="7"/>
        <v/>
      </c>
    </row>
    <row r="485" spans="1:1" x14ac:dyDescent="0.2">
      <c r="A485" s="49" t="str">
        <f t="shared" si="7"/>
        <v/>
      </c>
    </row>
    <row r="486" spans="1:1" x14ac:dyDescent="0.2">
      <c r="A486" s="49" t="str">
        <f t="shared" si="7"/>
        <v/>
      </c>
    </row>
    <row r="487" spans="1:1" x14ac:dyDescent="0.2">
      <c r="A487" s="49" t="str">
        <f t="shared" si="7"/>
        <v/>
      </c>
    </row>
    <row r="488" spans="1:1" x14ac:dyDescent="0.2">
      <c r="A488" s="49" t="str">
        <f t="shared" si="7"/>
        <v/>
      </c>
    </row>
    <row r="489" spans="1:1" x14ac:dyDescent="0.2">
      <c r="A489" s="49" t="str">
        <f t="shared" si="7"/>
        <v/>
      </c>
    </row>
    <row r="490" spans="1:1" x14ac:dyDescent="0.2">
      <c r="A490" s="49" t="str">
        <f t="shared" si="7"/>
        <v/>
      </c>
    </row>
    <row r="491" spans="1:1" x14ac:dyDescent="0.2">
      <c r="A491" s="49" t="str">
        <f t="shared" si="7"/>
        <v/>
      </c>
    </row>
    <row r="492" spans="1:1" x14ac:dyDescent="0.2">
      <c r="A492" s="49" t="str">
        <f t="shared" si="7"/>
        <v/>
      </c>
    </row>
    <row r="493" spans="1:1" x14ac:dyDescent="0.2">
      <c r="A493" s="49" t="str">
        <f t="shared" si="7"/>
        <v/>
      </c>
    </row>
    <row r="494" spans="1:1" x14ac:dyDescent="0.2">
      <c r="A494" s="49" t="str">
        <f t="shared" si="7"/>
        <v/>
      </c>
    </row>
    <row r="495" spans="1:1" x14ac:dyDescent="0.2">
      <c r="A495" s="49" t="str">
        <f t="shared" si="7"/>
        <v/>
      </c>
    </row>
    <row r="496" spans="1:1" x14ac:dyDescent="0.2">
      <c r="A496" s="49" t="str">
        <f t="shared" si="7"/>
        <v/>
      </c>
    </row>
    <row r="497" spans="1:1" x14ac:dyDescent="0.2">
      <c r="A497" s="49" t="str">
        <f t="shared" si="7"/>
        <v/>
      </c>
    </row>
    <row r="498" spans="1:1" x14ac:dyDescent="0.2">
      <c r="A498" s="49" t="str">
        <f t="shared" si="7"/>
        <v/>
      </c>
    </row>
    <row r="499" spans="1:1" x14ac:dyDescent="0.2">
      <c r="A499" s="49" t="str">
        <f t="shared" si="7"/>
        <v/>
      </c>
    </row>
    <row r="500" spans="1:1" x14ac:dyDescent="0.2">
      <c r="A500" s="49" t="str">
        <f t="shared" si="7"/>
        <v/>
      </c>
    </row>
    <row r="501" spans="1:1" x14ac:dyDescent="0.2">
      <c r="A501" s="49" t="str">
        <f t="shared" si="7"/>
        <v/>
      </c>
    </row>
    <row r="502" spans="1:1" x14ac:dyDescent="0.2">
      <c r="A502" s="49" t="str">
        <f t="shared" si="7"/>
        <v/>
      </c>
    </row>
    <row r="503" spans="1:1" x14ac:dyDescent="0.2">
      <c r="A503" s="49" t="str">
        <f t="shared" si="7"/>
        <v/>
      </c>
    </row>
    <row r="504" spans="1:1" x14ac:dyDescent="0.2">
      <c r="A504" s="49" t="str">
        <f t="shared" si="7"/>
        <v/>
      </c>
    </row>
    <row r="505" spans="1:1" x14ac:dyDescent="0.2">
      <c r="A505" s="49" t="str">
        <f t="shared" si="7"/>
        <v/>
      </c>
    </row>
    <row r="506" spans="1:1" x14ac:dyDescent="0.2">
      <c r="A506" s="49" t="str">
        <f t="shared" si="7"/>
        <v/>
      </c>
    </row>
    <row r="507" spans="1:1" x14ac:dyDescent="0.2">
      <c r="A507" s="49" t="str">
        <f t="shared" si="7"/>
        <v/>
      </c>
    </row>
    <row r="508" spans="1:1" x14ac:dyDescent="0.2">
      <c r="A508" s="49" t="str">
        <f t="shared" si="7"/>
        <v/>
      </c>
    </row>
    <row r="509" spans="1:1" x14ac:dyDescent="0.2">
      <c r="A509" s="49" t="str">
        <f t="shared" si="7"/>
        <v/>
      </c>
    </row>
    <row r="510" spans="1:1" x14ac:dyDescent="0.2">
      <c r="A510" s="49" t="str">
        <f t="shared" si="7"/>
        <v/>
      </c>
    </row>
    <row r="511" spans="1:1" x14ac:dyDescent="0.2">
      <c r="A511" s="49" t="str">
        <f t="shared" si="7"/>
        <v/>
      </c>
    </row>
    <row r="512" spans="1:1" x14ac:dyDescent="0.2">
      <c r="A512" s="49" t="str">
        <f t="shared" si="7"/>
        <v/>
      </c>
    </row>
    <row r="513" spans="1:1" x14ac:dyDescent="0.2">
      <c r="A513" s="49" t="str">
        <f t="shared" si="7"/>
        <v/>
      </c>
    </row>
    <row r="514" spans="1:1" x14ac:dyDescent="0.2">
      <c r="A514" s="49" t="str">
        <f t="shared" si="7"/>
        <v/>
      </c>
    </row>
    <row r="515" spans="1:1" x14ac:dyDescent="0.2">
      <c r="A515" s="49" t="str">
        <f t="shared" si="7"/>
        <v/>
      </c>
    </row>
    <row r="516" spans="1:1" x14ac:dyDescent="0.2">
      <c r="A516" s="49" t="str">
        <f t="shared" ref="A516:A579" si="8">IF(AND(B515&lt;&gt;"",B516=""),$A$2&amp;"---&gt;","")</f>
        <v/>
      </c>
    </row>
    <row r="517" spans="1:1" x14ac:dyDescent="0.2">
      <c r="A517" s="49" t="str">
        <f t="shared" si="8"/>
        <v/>
      </c>
    </row>
    <row r="518" spans="1:1" x14ac:dyDescent="0.2">
      <c r="A518" s="49" t="str">
        <f t="shared" si="8"/>
        <v/>
      </c>
    </row>
    <row r="519" spans="1:1" x14ac:dyDescent="0.2">
      <c r="A519" s="49" t="str">
        <f t="shared" si="8"/>
        <v/>
      </c>
    </row>
    <row r="520" spans="1:1" x14ac:dyDescent="0.2">
      <c r="A520" s="49" t="str">
        <f t="shared" si="8"/>
        <v/>
      </c>
    </row>
    <row r="521" spans="1:1" x14ac:dyDescent="0.2">
      <c r="A521" s="49" t="str">
        <f t="shared" si="8"/>
        <v/>
      </c>
    </row>
    <row r="522" spans="1:1" x14ac:dyDescent="0.2">
      <c r="A522" s="49" t="str">
        <f t="shared" si="8"/>
        <v/>
      </c>
    </row>
    <row r="523" spans="1:1" x14ac:dyDescent="0.2">
      <c r="A523" s="49" t="str">
        <f t="shared" si="8"/>
        <v/>
      </c>
    </row>
    <row r="524" spans="1:1" x14ac:dyDescent="0.2">
      <c r="A524" s="49" t="str">
        <f t="shared" si="8"/>
        <v/>
      </c>
    </row>
    <row r="525" spans="1:1" x14ac:dyDescent="0.2">
      <c r="A525" s="49" t="str">
        <f t="shared" si="8"/>
        <v/>
      </c>
    </row>
    <row r="526" spans="1:1" x14ac:dyDescent="0.2">
      <c r="A526" s="49" t="str">
        <f t="shared" si="8"/>
        <v/>
      </c>
    </row>
    <row r="527" spans="1:1" x14ac:dyDescent="0.2">
      <c r="A527" s="49" t="str">
        <f t="shared" si="8"/>
        <v/>
      </c>
    </row>
    <row r="528" spans="1:1" x14ac:dyDescent="0.2">
      <c r="A528" s="49" t="str">
        <f t="shared" si="8"/>
        <v/>
      </c>
    </row>
    <row r="529" spans="1:1" x14ac:dyDescent="0.2">
      <c r="A529" s="49" t="str">
        <f t="shared" si="8"/>
        <v/>
      </c>
    </row>
    <row r="530" spans="1:1" x14ac:dyDescent="0.2">
      <c r="A530" s="49" t="str">
        <f t="shared" si="8"/>
        <v/>
      </c>
    </row>
    <row r="531" spans="1:1" x14ac:dyDescent="0.2">
      <c r="A531" s="49" t="str">
        <f t="shared" si="8"/>
        <v/>
      </c>
    </row>
    <row r="532" spans="1:1" x14ac:dyDescent="0.2">
      <c r="A532" s="49" t="str">
        <f t="shared" si="8"/>
        <v/>
      </c>
    </row>
    <row r="533" spans="1:1" x14ac:dyDescent="0.2">
      <c r="A533" s="49" t="str">
        <f t="shared" si="8"/>
        <v/>
      </c>
    </row>
    <row r="534" spans="1:1" x14ac:dyDescent="0.2">
      <c r="A534" s="49" t="str">
        <f t="shared" si="8"/>
        <v/>
      </c>
    </row>
    <row r="535" spans="1:1" x14ac:dyDescent="0.2">
      <c r="A535" s="49" t="str">
        <f t="shared" si="8"/>
        <v/>
      </c>
    </row>
    <row r="536" spans="1:1" x14ac:dyDescent="0.2">
      <c r="A536" s="49" t="str">
        <f t="shared" si="8"/>
        <v/>
      </c>
    </row>
    <row r="537" spans="1:1" x14ac:dyDescent="0.2">
      <c r="A537" s="49" t="str">
        <f t="shared" si="8"/>
        <v/>
      </c>
    </row>
    <row r="538" spans="1:1" x14ac:dyDescent="0.2">
      <c r="A538" s="49" t="str">
        <f t="shared" si="8"/>
        <v/>
      </c>
    </row>
    <row r="539" spans="1:1" x14ac:dyDescent="0.2">
      <c r="A539" s="49" t="str">
        <f t="shared" si="8"/>
        <v/>
      </c>
    </row>
    <row r="540" spans="1:1" x14ac:dyDescent="0.2">
      <c r="A540" s="49" t="str">
        <f t="shared" si="8"/>
        <v/>
      </c>
    </row>
    <row r="541" spans="1:1" x14ac:dyDescent="0.2">
      <c r="A541" s="49" t="str">
        <f t="shared" si="8"/>
        <v/>
      </c>
    </row>
    <row r="542" spans="1:1" x14ac:dyDescent="0.2">
      <c r="A542" s="49" t="str">
        <f t="shared" si="8"/>
        <v/>
      </c>
    </row>
    <row r="543" spans="1:1" x14ac:dyDescent="0.2">
      <c r="A543" s="49" t="str">
        <f t="shared" si="8"/>
        <v/>
      </c>
    </row>
    <row r="544" spans="1:1" x14ac:dyDescent="0.2">
      <c r="A544" s="49" t="str">
        <f t="shared" si="8"/>
        <v/>
      </c>
    </row>
    <row r="545" spans="1:1" x14ac:dyDescent="0.2">
      <c r="A545" s="49" t="str">
        <f t="shared" si="8"/>
        <v/>
      </c>
    </row>
    <row r="546" spans="1:1" x14ac:dyDescent="0.2">
      <c r="A546" s="49" t="str">
        <f t="shared" si="8"/>
        <v/>
      </c>
    </row>
    <row r="547" spans="1:1" x14ac:dyDescent="0.2">
      <c r="A547" s="49" t="str">
        <f t="shared" si="8"/>
        <v/>
      </c>
    </row>
    <row r="548" spans="1:1" x14ac:dyDescent="0.2">
      <c r="A548" s="49" t="str">
        <f t="shared" si="8"/>
        <v/>
      </c>
    </row>
    <row r="549" spans="1:1" x14ac:dyDescent="0.2">
      <c r="A549" s="49" t="str">
        <f t="shared" si="8"/>
        <v/>
      </c>
    </row>
    <row r="550" spans="1:1" x14ac:dyDescent="0.2">
      <c r="A550" s="49" t="str">
        <f t="shared" si="8"/>
        <v/>
      </c>
    </row>
    <row r="551" spans="1:1" x14ac:dyDescent="0.2">
      <c r="A551" s="49" t="str">
        <f t="shared" si="8"/>
        <v/>
      </c>
    </row>
    <row r="552" spans="1:1" x14ac:dyDescent="0.2">
      <c r="A552" s="49" t="str">
        <f t="shared" si="8"/>
        <v/>
      </c>
    </row>
    <row r="553" spans="1:1" x14ac:dyDescent="0.2">
      <c r="A553" s="49" t="str">
        <f t="shared" si="8"/>
        <v/>
      </c>
    </row>
    <row r="554" spans="1:1" x14ac:dyDescent="0.2">
      <c r="A554" s="49" t="str">
        <f t="shared" si="8"/>
        <v/>
      </c>
    </row>
    <row r="555" spans="1:1" x14ac:dyDescent="0.2">
      <c r="A555" s="49" t="str">
        <f t="shared" si="8"/>
        <v/>
      </c>
    </row>
    <row r="556" spans="1:1" x14ac:dyDescent="0.2">
      <c r="A556" s="49" t="str">
        <f t="shared" si="8"/>
        <v/>
      </c>
    </row>
    <row r="557" spans="1:1" x14ac:dyDescent="0.2">
      <c r="A557" s="49" t="str">
        <f t="shared" si="8"/>
        <v/>
      </c>
    </row>
    <row r="558" spans="1:1" x14ac:dyDescent="0.2">
      <c r="A558" s="49" t="str">
        <f t="shared" si="8"/>
        <v/>
      </c>
    </row>
    <row r="559" spans="1:1" x14ac:dyDescent="0.2">
      <c r="A559" s="49" t="str">
        <f t="shared" si="8"/>
        <v/>
      </c>
    </row>
    <row r="560" spans="1:1" x14ac:dyDescent="0.2">
      <c r="A560" s="49" t="str">
        <f t="shared" si="8"/>
        <v/>
      </c>
    </row>
    <row r="561" spans="1:1" x14ac:dyDescent="0.2">
      <c r="A561" s="49" t="str">
        <f t="shared" si="8"/>
        <v/>
      </c>
    </row>
    <row r="562" spans="1:1" x14ac:dyDescent="0.2">
      <c r="A562" s="49" t="str">
        <f t="shared" si="8"/>
        <v/>
      </c>
    </row>
    <row r="563" spans="1:1" x14ac:dyDescent="0.2">
      <c r="A563" s="49" t="str">
        <f t="shared" si="8"/>
        <v/>
      </c>
    </row>
    <row r="564" spans="1:1" x14ac:dyDescent="0.2">
      <c r="A564" s="49" t="str">
        <f t="shared" si="8"/>
        <v/>
      </c>
    </row>
    <row r="565" spans="1:1" x14ac:dyDescent="0.2">
      <c r="A565" s="49" t="str">
        <f t="shared" si="8"/>
        <v/>
      </c>
    </row>
    <row r="566" spans="1:1" x14ac:dyDescent="0.2">
      <c r="A566" s="49" t="str">
        <f t="shared" si="8"/>
        <v/>
      </c>
    </row>
    <row r="567" spans="1:1" x14ac:dyDescent="0.2">
      <c r="A567" s="49" t="str">
        <f t="shared" si="8"/>
        <v/>
      </c>
    </row>
    <row r="568" spans="1:1" x14ac:dyDescent="0.2">
      <c r="A568" s="49" t="str">
        <f t="shared" si="8"/>
        <v/>
      </c>
    </row>
    <row r="569" spans="1:1" x14ac:dyDescent="0.2">
      <c r="A569" s="49" t="str">
        <f t="shared" si="8"/>
        <v/>
      </c>
    </row>
    <row r="570" spans="1:1" x14ac:dyDescent="0.2">
      <c r="A570" s="49" t="str">
        <f t="shared" si="8"/>
        <v/>
      </c>
    </row>
    <row r="571" spans="1:1" x14ac:dyDescent="0.2">
      <c r="A571" s="49" t="str">
        <f t="shared" si="8"/>
        <v/>
      </c>
    </row>
    <row r="572" spans="1:1" x14ac:dyDescent="0.2">
      <c r="A572" s="49" t="str">
        <f t="shared" si="8"/>
        <v/>
      </c>
    </row>
    <row r="573" spans="1:1" x14ac:dyDescent="0.2">
      <c r="A573" s="49" t="str">
        <f t="shared" si="8"/>
        <v/>
      </c>
    </row>
    <row r="574" spans="1:1" x14ac:dyDescent="0.2">
      <c r="A574" s="49" t="str">
        <f t="shared" si="8"/>
        <v/>
      </c>
    </row>
    <row r="575" spans="1:1" x14ac:dyDescent="0.2">
      <c r="A575" s="49" t="str">
        <f t="shared" si="8"/>
        <v/>
      </c>
    </row>
    <row r="576" spans="1:1" x14ac:dyDescent="0.2">
      <c r="A576" s="49" t="str">
        <f t="shared" si="8"/>
        <v/>
      </c>
    </row>
    <row r="577" spans="1:1" x14ac:dyDescent="0.2">
      <c r="A577" s="49" t="str">
        <f t="shared" si="8"/>
        <v/>
      </c>
    </row>
    <row r="578" spans="1:1" x14ac:dyDescent="0.2">
      <c r="A578" s="49" t="str">
        <f t="shared" si="8"/>
        <v/>
      </c>
    </row>
    <row r="579" spans="1:1" x14ac:dyDescent="0.2">
      <c r="A579" s="49" t="str">
        <f t="shared" si="8"/>
        <v/>
      </c>
    </row>
    <row r="580" spans="1:1" x14ac:dyDescent="0.2">
      <c r="A580" s="49" t="str">
        <f t="shared" ref="A580:A643" si="9">IF(AND(B579&lt;&gt;"",B580=""),$A$2&amp;"---&gt;","")</f>
        <v/>
      </c>
    </row>
    <row r="581" spans="1:1" x14ac:dyDescent="0.2">
      <c r="A581" s="49" t="str">
        <f t="shared" si="9"/>
        <v/>
      </c>
    </row>
    <row r="582" spans="1:1" x14ac:dyDescent="0.2">
      <c r="A582" s="49" t="str">
        <f t="shared" si="9"/>
        <v/>
      </c>
    </row>
    <row r="583" spans="1:1" x14ac:dyDescent="0.2">
      <c r="A583" s="49" t="str">
        <f t="shared" si="9"/>
        <v/>
      </c>
    </row>
    <row r="584" spans="1:1" x14ac:dyDescent="0.2">
      <c r="A584" s="49" t="str">
        <f t="shared" si="9"/>
        <v/>
      </c>
    </row>
    <row r="585" spans="1:1" x14ac:dyDescent="0.2">
      <c r="A585" s="49" t="str">
        <f t="shared" si="9"/>
        <v/>
      </c>
    </row>
    <row r="586" spans="1:1" x14ac:dyDescent="0.2">
      <c r="A586" s="49" t="str">
        <f t="shared" si="9"/>
        <v/>
      </c>
    </row>
    <row r="587" spans="1:1" x14ac:dyDescent="0.2">
      <c r="A587" s="49" t="str">
        <f t="shared" si="9"/>
        <v/>
      </c>
    </row>
    <row r="588" spans="1:1" x14ac:dyDescent="0.2">
      <c r="A588" s="49" t="str">
        <f t="shared" si="9"/>
        <v/>
      </c>
    </row>
    <row r="589" spans="1:1" x14ac:dyDescent="0.2">
      <c r="A589" s="49" t="str">
        <f t="shared" si="9"/>
        <v/>
      </c>
    </row>
    <row r="590" spans="1:1" x14ac:dyDescent="0.2">
      <c r="A590" s="49" t="str">
        <f t="shared" si="9"/>
        <v/>
      </c>
    </row>
    <row r="591" spans="1:1" x14ac:dyDescent="0.2">
      <c r="A591" s="49" t="str">
        <f t="shared" si="9"/>
        <v/>
      </c>
    </row>
    <row r="592" spans="1:1" x14ac:dyDescent="0.2">
      <c r="A592" s="49" t="str">
        <f t="shared" si="9"/>
        <v/>
      </c>
    </row>
    <row r="593" spans="1:1" x14ac:dyDescent="0.2">
      <c r="A593" s="49" t="str">
        <f t="shared" si="9"/>
        <v/>
      </c>
    </row>
    <row r="594" spans="1:1" x14ac:dyDescent="0.2">
      <c r="A594" s="49" t="str">
        <f t="shared" si="9"/>
        <v/>
      </c>
    </row>
    <row r="595" spans="1:1" x14ac:dyDescent="0.2">
      <c r="A595" s="49" t="str">
        <f t="shared" si="9"/>
        <v/>
      </c>
    </row>
    <row r="596" spans="1:1" x14ac:dyDescent="0.2">
      <c r="A596" s="49" t="str">
        <f t="shared" si="9"/>
        <v/>
      </c>
    </row>
    <row r="597" spans="1:1" x14ac:dyDescent="0.2">
      <c r="A597" s="49" t="str">
        <f t="shared" si="9"/>
        <v/>
      </c>
    </row>
    <row r="598" spans="1:1" x14ac:dyDescent="0.2">
      <c r="A598" s="49" t="str">
        <f t="shared" si="9"/>
        <v/>
      </c>
    </row>
    <row r="599" spans="1:1" x14ac:dyDescent="0.2">
      <c r="A599" s="49" t="str">
        <f t="shared" si="9"/>
        <v/>
      </c>
    </row>
    <row r="600" spans="1:1" x14ac:dyDescent="0.2">
      <c r="A600" s="49" t="str">
        <f t="shared" si="9"/>
        <v/>
      </c>
    </row>
    <row r="601" spans="1:1" x14ac:dyDescent="0.2">
      <c r="A601" s="49" t="str">
        <f t="shared" si="9"/>
        <v/>
      </c>
    </row>
    <row r="602" spans="1:1" x14ac:dyDescent="0.2">
      <c r="A602" s="49" t="str">
        <f t="shared" si="9"/>
        <v/>
      </c>
    </row>
    <row r="603" spans="1:1" x14ac:dyDescent="0.2">
      <c r="A603" s="49" t="str">
        <f t="shared" si="9"/>
        <v/>
      </c>
    </row>
    <row r="604" spans="1:1" x14ac:dyDescent="0.2">
      <c r="A604" s="49" t="str">
        <f t="shared" si="9"/>
        <v/>
      </c>
    </row>
    <row r="605" spans="1:1" x14ac:dyDescent="0.2">
      <c r="A605" s="49" t="str">
        <f t="shared" si="9"/>
        <v/>
      </c>
    </row>
    <row r="606" spans="1:1" x14ac:dyDescent="0.2">
      <c r="A606" s="49" t="str">
        <f t="shared" si="9"/>
        <v/>
      </c>
    </row>
    <row r="607" spans="1:1" x14ac:dyDescent="0.2">
      <c r="A607" s="49" t="str">
        <f t="shared" si="9"/>
        <v/>
      </c>
    </row>
    <row r="608" spans="1:1" x14ac:dyDescent="0.2">
      <c r="A608" s="49" t="str">
        <f t="shared" si="9"/>
        <v/>
      </c>
    </row>
    <row r="609" spans="1:1" x14ac:dyDescent="0.2">
      <c r="A609" s="49" t="str">
        <f t="shared" si="9"/>
        <v/>
      </c>
    </row>
    <row r="610" spans="1:1" x14ac:dyDescent="0.2">
      <c r="A610" s="49" t="str">
        <f t="shared" si="9"/>
        <v/>
      </c>
    </row>
    <row r="611" spans="1:1" x14ac:dyDescent="0.2">
      <c r="A611" s="49" t="str">
        <f t="shared" si="9"/>
        <v/>
      </c>
    </row>
    <row r="612" spans="1:1" x14ac:dyDescent="0.2">
      <c r="A612" s="49" t="str">
        <f t="shared" si="9"/>
        <v/>
      </c>
    </row>
    <row r="613" spans="1:1" x14ac:dyDescent="0.2">
      <c r="A613" s="49" t="str">
        <f t="shared" si="9"/>
        <v/>
      </c>
    </row>
    <row r="614" spans="1:1" x14ac:dyDescent="0.2">
      <c r="A614" s="49" t="str">
        <f t="shared" si="9"/>
        <v/>
      </c>
    </row>
    <row r="615" spans="1:1" x14ac:dyDescent="0.2">
      <c r="A615" s="49" t="str">
        <f t="shared" si="9"/>
        <v/>
      </c>
    </row>
    <row r="616" spans="1:1" x14ac:dyDescent="0.2">
      <c r="A616" s="49" t="str">
        <f t="shared" si="9"/>
        <v/>
      </c>
    </row>
    <row r="617" spans="1:1" x14ac:dyDescent="0.2">
      <c r="A617" s="49" t="str">
        <f t="shared" si="9"/>
        <v/>
      </c>
    </row>
    <row r="618" spans="1:1" x14ac:dyDescent="0.2">
      <c r="A618" s="49" t="str">
        <f t="shared" si="9"/>
        <v/>
      </c>
    </row>
    <row r="619" spans="1:1" x14ac:dyDescent="0.2">
      <c r="A619" s="49" t="str">
        <f t="shared" si="9"/>
        <v/>
      </c>
    </row>
    <row r="620" spans="1:1" x14ac:dyDescent="0.2">
      <c r="A620" s="49" t="str">
        <f t="shared" si="9"/>
        <v/>
      </c>
    </row>
    <row r="621" spans="1:1" x14ac:dyDescent="0.2">
      <c r="A621" s="49" t="str">
        <f t="shared" si="9"/>
        <v/>
      </c>
    </row>
    <row r="622" spans="1:1" x14ac:dyDescent="0.2">
      <c r="A622" s="49" t="str">
        <f t="shared" si="9"/>
        <v/>
      </c>
    </row>
    <row r="623" spans="1:1" x14ac:dyDescent="0.2">
      <c r="A623" s="49" t="str">
        <f t="shared" si="9"/>
        <v/>
      </c>
    </row>
    <row r="624" spans="1:1" x14ac:dyDescent="0.2">
      <c r="A624" s="49" t="str">
        <f t="shared" si="9"/>
        <v/>
      </c>
    </row>
    <row r="625" spans="1:1" x14ac:dyDescent="0.2">
      <c r="A625" s="49" t="str">
        <f t="shared" si="9"/>
        <v/>
      </c>
    </row>
    <row r="626" spans="1:1" x14ac:dyDescent="0.2">
      <c r="A626" s="49" t="str">
        <f t="shared" si="9"/>
        <v/>
      </c>
    </row>
    <row r="627" spans="1:1" x14ac:dyDescent="0.2">
      <c r="A627" s="49" t="str">
        <f t="shared" si="9"/>
        <v/>
      </c>
    </row>
    <row r="628" spans="1:1" x14ac:dyDescent="0.2">
      <c r="A628" s="49" t="str">
        <f t="shared" si="9"/>
        <v/>
      </c>
    </row>
    <row r="629" spans="1:1" x14ac:dyDescent="0.2">
      <c r="A629" s="49" t="str">
        <f t="shared" si="9"/>
        <v/>
      </c>
    </row>
    <row r="630" spans="1:1" x14ac:dyDescent="0.2">
      <c r="A630" s="49" t="str">
        <f t="shared" si="9"/>
        <v/>
      </c>
    </row>
    <row r="631" spans="1:1" x14ac:dyDescent="0.2">
      <c r="A631" s="49" t="str">
        <f t="shared" si="9"/>
        <v/>
      </c>
    </row>
    <row r="632" spans="1:1" x14ac:dyDescent="0.2">
      <c r="A632" s="49" t="str">
        <f t="shared" si="9"/>
        <v/>
      </c>
    </row>
    <row r="633" spans="1:1" x14ac:dyDescent="0.2">
      <c r="A633" s="49" t="str">
        <f t="shared" si="9"/>
        <v/>
      </c>
    </row>
    <row r="634" spans="1:1" x14ac:dyDescent="0.2">
      <c r="A634" s="49" t="str">
        <f t="shared" si="9"/>
        <v/>
      </c>
    </row>
    <row r="635" spans="1:1" x14ac:dyDescent="0.2">
      <c r="A635" s="49" t="str">
        <f t="shared" si="9"/>
        <v/>
      </c>
    </row>
    <row r="636" spans="1:1" x14ac:dyDescent="0.2">
      <c r="A636" s="49" t="str">
        <f t="shared" si="9"/>
        <v/>
      </c>
    </row>
    <row r="637" spans="1:1" x14ac:dyDescent="0.2">
      <c r="A637" s="49" t="str">
        <f t="shared" si="9"/>
        <v/>
      </c>
    </row>
    <row r="638" spans="1:1" x14ac:dyDescent="0.2">
      <c r="A638" s="49" t="str">
        <f t="shared" si="9"/>
        <v/>
      </c>
    </row>
    <row r="639" spans="1:1" x14ac:dyDescent="0.2">
      <c r="A639" s="49" t="str">
        <f t="shared" si="9"/>
        <v/>
      </c>
    </row>
    <row r="640" spans="1:1" x14ac:dyDescent="0.2">
      <c r="A640" s="49" t="str">
        <f t="shared" si="9"/>
        <v/>
      </c>
    </row>
    <row r="641" spans="1:1" x14ac:dyDescent="0.2">
      <c r="A641" s="49" t="str">
        <f t="shared" si="9"/>
        <v/>
      </c>
    </row>
    <row r="642" spans="1:1" x14ac:dyDescent="0.2">
      <c r="A642" s="49" t="str">
        <f t="shared" si="9"/>
        <v/>
      </c>
    </row>
    <row r="643" spans="1:1" x14ac:dyDescent="0.2">
      <c r="A643" s="49" t="str">
        <f t="shared" si="9"/>
        <v/>
      </c>
    </row>
    <row r="644" spans="1:1" x14ac:dyDescent="0.2">
      <c r="A644" s="49" t="str">
        <f t="shared" ref="A644:A707" si="10">IF(AND(B643&lt;&gt;"",B644=""),$A$2&amp;"---&gt;","")</f>
        <v/>
      </c>
    </row>
    <row r="645" spans="1:1" x14ac:dyDescent="0.2">
      <c r="A645" s="49" t="str">
        <f t="shared" si="10"/>
        <v/>
      </c>
    </row>
    <row r="646" spans="1:1" x14ac:dyDescent="0.2">
      <c r="A646" s="49" t="str">
        <f t="shared" si="10"/>
        <v/>
      </c>
    </row>
    <row r="647" spans="1:1" x14ac:dyDescent="0.2">
      <c r="A647" s="49" t="str">
        <f t="shared" si="10"/>
        <v/>
      </c>
    </row>
    <row r="648" spans="1:1" x14ac:dyDescent="0.2">
      <c r="A648" s="49" t="str">
        <f t="shared" si="10"/>
        <v/>
      </c>
    </row>
    <row r="649" spans="1:1" x14ac:dyDescent="0.2">
      <c r="A649" s="49" t="str">
        <f t="shared" si="10"/>
        <v/>
      </c>
    </row>
    <row r="650" spans="1:1" x14ac:dyDescent="0.2">
      <c r="A650" s="49" t="str">
        <f t="shared" si="10"/>
        <v/>
      </c>
    </row>
    <row r="651" spans="1:1" x14ac:dyDescent="0.2">
      <c r="A651" s="49" t="str">
        <f t="shared" si="10"/>
        <v/>
      </c>
    </row>
    <row r="652" spans="1:1" x14ac:dyDescent="0.2">
      <c r="A652" s="49" t="str">
        <f t="shared" si="10"/>
        <v/>
      </c>
    </row>
    <row r="653" spans="1:1" x14ac:dyDescent="0.2">
      <c r="A653" s="49" t="str">
        <f t="shared" si="10"/>
        <v/>
      </c>
    </row>
    <row r="654" spans="1:1" x14ac:dyDescent="0.2">
      <c r="A654" s="49" t="str">
        <f t="shared" si="10"/>
        <v/>
      </c>
    </row>
    <row r="655" spans="1:1" x14ac:dyDescent="0.2">
      <c r="A655" s="49" t="str">
        <f t="shared" si="10"/>
        <v/>
      </c>
    </row>
    <row r="656" spans="1:1" x14ac:dyDescent="0.2">
      <c r="A656" s="49" t="str">
        <f t="shared" si="10"/>
        <v/>
      </c>
    </row>
    <row r="657" spans="1:1" x14ac:dyDescent="0.2">
      <c r="A657" s="49" t="str">
        <f t="shared" si="10"/>
        <v/>
      </c>
    </row>
    <row r="658" spans="1:1" x14ac:dyDescent="0.2">
      <c r="A658" s="49" t="str">
        <f t="shared" si="10"/>
        <v/>
      </c>
    </row>
    <row r="659" spans="1:1" x14ac:dyDescent="0.2">
      <c r="A659" s="49" t="str">
        <f t="shared" si="10"/>
        <v/>
      </c>
    </row>
    <row r="660" spans="1:1" x14ac:dyDescent="0.2">
      <c r="A660" s="49" t="str">
        <f t="shared" si="10"/>
        <v/>
      </c>
    </row>
    <row r="661" spans="1:1" x14ac:dyDescent="0.2">
      <c r="A661" s="49" t="str">
        <f t="shared" si="10"/>
        <v/>
      </c>
    </row>
    <row r="662" spans="1:1" x14ac:dyDescent="0.2">
      <c r="A662" s="49" t="str">
        <f t="shared" si="10"/>
        <v/>
      </c>
    </row>
    <row r="663" spans="1:1" x14ac:dyDescent="0.2">
      <c r="A663" s="49" t="str">
        <f t="shared" si="10"/>
        <v/>
      </c>
    </row>
    <row r="664" spans="1:1" x14ac:dyDescent="0.2">
      <c r="A664" s="49" t="str">
        <f t="shared" si="10"/>
        <v/>
      </c>
    </row>
    <row r="665" spans="1:1" x14ac:dyDescent="0.2">
      <c r="A665" s="49" t="str">
        <f t="shared" si="10"/>
        <v/>
      </c>
    </row>
    <row r="666" spans="1:1" x14ac:dyDescent="0.2">
      <c r="A666" s="49" t="str">
        <f t="shared" si="10"/>
        <v/>
      </c>
    </row>
    <row r="667" spans="1:1" x14ac:dyDescent="0.2">
      <c r="A667" s="49" t="str">
        <f t="shared" si="10"/>
        <v/>
      </c>
    </row>
    <row r="668" spans="1:1" x14ac:dyDescent="0.2">
      <c r="A668" s="49" t="str">
        <f t="shared" si="10"/>
        <v/>
      </c>
    </row>
    <row r="669" spans="1:1" x14ac:dyDescent="0.2">
      <c r="A669" s="49" t="str">
        <f t="shared" si="10"/>
        <v/>
      </c>
    </row>
    <row r="670" spans="1:1" x14ac:dyDescent="0.2">
      <c r="A670" s="49" t="str">
        <f t="shared" si="10"/>
        <v/>
      </c>
    </row>
    <row r="671" spans="1:1" x14ac:dyDescent="0.2">
      <c r="A671" s="49" t="str">
        <f t="shared" si="10"/>
        <v/>
      </c>
    </row>
    <row r="672" spans="1:1" x14ac:dyDescent="0.2">
      <c r="A672" s="49" t="str">
        <f t="shared" si="10"/>
        <v/>
      </c>
    </row>
    <row r="673" spans="1:1" x14ac:dyDescent="0.2">
      <c r="A673" s="49" t="str">
        <f t="shared" si="10"/>
        <v/>
      </c>
    </row>
    <row r="674" spans="1:1" x14ac:dyDescent="0.2">
      <c r="A674" s="49" t="str">
        <f t="shared" si="10"/>
        <v/>
      </c>
    </row>
    <row r="675" spans="1:1" x14ac:dyDescent="0.2">
      <c r="A675" s="49" t="str">
        <f t="shared" si="10"/>
        <v/>
      </c>
    </row>
    <row r="676" spans="1:1" x14ac:dyDescent="0.2">
      <c r="A676" s="49" t="str">
        <f t="shared" si="10"/>
        <v/>
      </c>
    </row>
    <row r="677" spans="1:1" x14ac:dyDescent="0.2">
      <c r="A677" s="49" t="str">
        <f t="shared" si="10"/>
        <v/>
      </c>
    </row>
    <row r="678" spans="1:1" x14ac:dyDescent="0.2">
      <c r="A678" s="49" t="str">
        <f t="shared" si="10"/>
        <v/>
      </c>
    </row>
    <row r="679" spans="1:1" x14ac:dyDescent="0.2">
      <c r="A679" s="49" t="str">
        <f t="shared" si="10"/>
        <v/>
      </c>
    </row>
    <row r="680" spans="1:1" x14ac:dyDescent="0.2">
      <c r="A680" s="49" t="str">
        <f t="shared" si="10"/>
        <v/>
      </c>
    </row>
    <row r="681" spans="1:1" x14ac:dyDescent="0.2">
      <c r="A681" s="49" t="str">
        <f t="shared" si="10"/>
        <v/>
      </c>
    </row>
    <row r="682" spans="1:1" x14ac:dyDescent="0.2">
      <c r="A682" s="49" t="str">
        <f t="shared" si="10"/>
        <v/>
      </c>
    </row>
    <row r="683" spans="1:1" x14ac:dyDescent="0.2">
      <c r="A683" s="49" t="str">
        <f t="shared" si="10"/>
        <v/>
      </c>
    </row>
    <row r="684" spans="1:1" x14ac:dyDescent="0.2">
      <c r="A684" s="49" t="str">
        <f t="shared" si="10"/>
        <v/>
      </c>
    </row>
    <row r="685" spans="1:1" x14ac:dyDescent="0.2">
      <c r="A685" s="49" t="str">
        <f t="shared" si="10"/>
        <v/>
      </c>
    </row>
    <row r="686" spans="1:1" x14ac:dyDescent="0.2">
      <c r="A686" s="49" t="str">
        <f t="shared" si="10"/>
        <v/>
      </c>
    </row>
    <row r="687" spans="1:1" x14ac:dyDescent="0.2">
      <c r="A687" s="49" t="str">
        <f t="shared" si="10"/>
        <v/>
      </c>
    </row>
    <row r="688" spans="1:1" x14ac:dyDescent="0.2">
      <c r="A688" s="49" t="str">
        <f t="shared" si="10"/>
        <v/>
      </c>
    </row>
    <row r="689" spans="1:1" x14ac:dyDescent="0.2">
      <c r="A689" s="49" t="str">
        <f t="shared" si="10"/>
        <v/>
      </c>
    </row>
    <row r="690" spans="1:1" x14ac:dyDescent="0.2">
      <c r="A690" s="49" t="str">
        <f t="shared" si="10"/>
        <v/>
      </c>
    </row>
    <row r="691" spans="1:1" x14ac:dyDescent="0.2">
      <c r="A691" s="49" t="str">
        <f t="shared" si="10"/>
        <v/>
      </c>
    </row>
    <row r="692" spans="1:1" x14ac:dyDescent="0.2">
      <c r="A692" s="49" t="str">
        <f t="shared" si="10"/>
        <v/>
      </c>
    </row>
    <row r="693" spans="1:1" x14ac:dyDescent="0.2">
      <c r="A693" s="49" t="str">
        <f t="shared" si="10"/>
        <v/>
      </c>
    </row>
    <row r="694" spans="1:1" x14ac:dyDescent="0.2">
      <c r="A694" s="49" t="str">
        <f t="shared" si="10"/>
        <v/>
      </c>
    </row>
    <row r="695" spans="1:1" x14ac:dyDescent="0.2">
      <c r="A695" s="49" t="str">
        <f t="shared" si="10"/>
        <v/>
      </c>
    </row>
    <row r="696" spans="1:1" x14ac:dyDescent="0.2">
      <c r="A696" s="49" t="str">
        <f t="shared" si="10"/>
        <v/>
      </c>
    </row>
    <row r="697" spans="1:1" x14ac:dyDescent="0.2">
      <c r="A697" s="49" t="str">
        <f t="shared" si="10"/>
        <v/>
      </c>
    </row>
    <row r="698" spans="1:1" x14ac:dyDescent="0.2">
      <c r="A698" s="49" t="str">
        <f t="shared" si="10"/>
        <v/>
      </c>
    </row>
    <row r="699" spans="1:1" x14ac:dyDescent="0.2">
      <c r="A699" s="49" t="str">
        <f t="shared" si="10"/>
        <v/>
      </c>
    </row>
    <row r="700" spans="1:1" x14ac:dyDescent="0.2">
      <c r="A700" s="49" t="str">
        <f t="shared" si="10"/>
        <v/>
      </c>
    </row>
    <row r="701" spans="1:1" x14ac:dyDescent="0.2">
      <c r="A701" s="49" t="str">
        <f t="shared" si="10"/>
        <v/>
      </c>
    </row>
    <row r="702" spans="1:1" x14ac:dyDescent="0.2">
      <c r="A702" s="49" t="str">
        <f t="shared" si="10"/>
        <v/>
      </c>
    </row>
    <row r="703" spans="1:1" x14ac:dyDescent="0.2">
      <c r="A703" s="49" t="str">
        <f t="shared" si="10"/>
        <v/>
      </c>
    </row>
    <row r="704" spans="1:1" x14ac:dyDescent="0.2">
      <c r="A704" s="49" t="str">
        <f t="shared" si="10"/>
        <v/>
      </c>
    </row>
    <row r="705" spans="1:1" x14ac:dyDescent="0.2">
      <c r="A705" s="49" t="str">
        <f t="shared" si="10"/>
        <v/>
      </c>
    </row>
    <row r="706" spans="1:1" x14ac:dyDescent="0.2">
      <c r="A706" s="49" t="str">
        <f t="shared" si="10"/>
        <v/>
      </c>
    </row>
    <row r="707" spans="1:1" x14ac:dyDescent="0.2">
      <c r="A707" s="49" t="str">
        <f t="shared" si="10"/>
        <v/>
      </c>
    </row>
    <row r="708" spans="1:1" x14ac:dyDescent="0.2">
      <c r="A708" s="49" t="str">
        <f t="shared" ref="A708:A771" si="11">IF(AND(B707&lt;&gt;"",B708=""),$A$2&amp;"---&gt;","")</f>
        <v/>
      </c>
    </row>
    <row r="709" spans="1:1" x14ac:dyDescent="0.2">
      <c r="A709" s="49" t="str">
        <f t="shared" si="11"/>
        <v/>
      </c>
    </row>
    <row r="710" spans="1:1" x14ac:dyDescent="0.2">
      <c r="A710" s="49" t="str">
        <f t="shared" si="11"/>
        <v/>
      </c>
    </row>
    <row r="711" spans="1:1" x14ac:dyDescent="0.2">
      <c r="A711" s="49" t="str">
        <f t="shared" si="11"/>
        <v/>
      </c>
    </row>
    <row r="712" spans="1:1" x14ac:dyDescent="0.2">
      <c r="A712" s="49" t="str">
        <f t="shared" si="11"/>
        <v/>
      </c>
    </row>
    <row r="713" spans="1:1" x14ac:dyDescent="0.2">
      <c r="A713" s="49" t="str">
        <f t="shared" si="11"/>
        <v/>
      </c>
    </row>
    <row r="714" spans="1:1" x14ac:dyDescent="0.2">
      <c r="A714" s="49" t="str">
        <f t="shared" si="11"/>
        <v/>
      </c>
    </row>
    <row r="715" spans="1:1" x14ac:dyDescent="0.2">
      <c r="A715" s="49" t="str">
        <f t="shared" si="11"/>
        <v/>
      </c>
    </row>
    <row r="716" spans="1:1" x14ac:dyDescent="0.2">
      <c r="A716" s="49" t="str">
        <f t="shared" si="11"/>
        <v/>
      </c>
    </row>
    <row r="717" spans="1:1" x14ac:dyDescent="0.2">
      <c r="A717" s="49" t="str">
        <f t="shared" si="11"/>
        <v/>
      </c>
    </row>
    <row r="718" spans="1:1" x14ac:dyDescent="0.2">
      <c r="A718" s="49" t="str">
        <f t="shared" si="11"/>
        <v/>
      </c>
    </row>
    <row r="719" spans="1:1" x14ac:dyDescent="0.2">
      <c r="A719" s="49" t="str">
        <f t="shared" si="11"/>
        <v/>
      </c>
    </row>
    <row r="720" spans="1:1" x14ac:dyDescent="0.2">
      <c r="A720" s="49" t="str">
        <f t="shared" si="11"/>
        <v/>
      </c>
    </row>
    <row r="721" spans="1:1" x14ac:dyDescent="0.2">
      <c r="A721" s="49" t="str">
        <f t="shared" si="11"/>
        <v/>
      </c>
    </row>
    <row r="722" spans="1:1" x14ac:dyDescent="0.2">
      <c r="A722" s="49" t="str">
        <f t="shared" si="11"/>
        <v/>
      </c>
    </row>
    <row r="723" spans="1:1" x14ac:dyDescent="0.2">
      <c r="A723" s="49" t="str">
        <f t="shared" si="11"/>
        <v/>
      </c>
    </row>
    <row r="724" spans="1:1" x14ac:dyDescent="0.2">
      <c r="A724" s="49" t="str">
        <f t="shared" si="11"/>
        <v/>
      </c>
    </row>
    <row r="725" spans="1:1" x14ac:dyDescent="0.2">
      <c r="A725" s="49" t="str">
        <f t="shared" si="11"/>
        <v/>
      </c>
    </row>
    <row r="726" spans="1:1" x14ac:dyDescent="0.2">
      <c r="A726" s="49" t="str">
        <f t="shared" si="11"/>
        <v/>
      </c>
    </row>
    <row r="727" spans="1:1" x14ac:dyDescent="0.2">
      <c r="A727" s="49" t="str">
        <f t="shared" si="11"/>
        <v/>
      </c>
    </row>
    <row r="728" spans="1:1" x14ac:dyDescent="0.2">
      <c r="A728" s="49" t="str">
        <f t="shared" si="11"/>
        <v/>
      </c>
    </row>
    <row r="729" spans="1:1" x14ac:dyDescent="0.2">
      <c r="A729" s="49" t="str">
        <f t="shared" si="11"/>
        <v/>
      </c>
    </row>
    <row r="730" spans="1:1" x14ac:dyDescent="0.2">
      <c r="A730" s="49" t="str">
        <f t="shared" si="11"/>
        <v/>
      </c>
    </row>
    <row r="731" spans="1:1" x14ac:dyDescent="0.2">
      <c r="A731" s="49" t="str">
        <f t="shared" si="11"/>
        <v/>
      </c>
    </row>
    <row r="732" spans="1:1" x14ac:dyDescent="0.2">
      <c r="A732" s="49" t="str">
        <f t="shared" si="11"/>
        <v/>
      </c>
    </row>
    <row r="733" spans="1:1" x14ac:dyDescent="0.2">
      <c r="A733" s="49" t="str">
        <f t="shared" si="11"/>
        <v/>
      </c>
    </row>
    <row r="734" spans="1:1" x14ac:dyDescent="0.2">
      <c r="A734" s="49" t="str">
        <f t="shared" si="11"/>
        <v/>
      </c>
    </row>
    <row r="735" spans="1:1" x14ac:dyDescent="0.2">
      <c r="A735" s="49" t="str">
        <f t="shared" si="11"/>
        <v/>
      </c>
    </row>
    <row r="736" spans="1:1" x14ac:dyDescent="0.2">
      <c r="A736" s="49" t="str">
        <f t="shared" si="11"/>
        <v/>
      </c>
    </row>
    <row r="737" spans="1:1" x14ac:dyDescent="0.2">
      <c r="A737" s="49" t="str">
        <f t="shared" si="11"/>
        <v/>
      </c>
    </row>
    <row r="738" spans="1:1" x14ac:dyDescent="0.2">
      <c r="A738" s="49" t="str">
        <f t="shared" si="11"/>
        <v/>
      </c>
    </row>
    <row r="739" spans="1:1" x14ac:dyDescent="0.2">
      <c r="A739" s="49" t="str">
        <f t="shared" si="11"/>
        <v/>
      </c>
    </row>
    <row r="740" spans="1:1" x14ac:dyDescent="0.2">
      <c r="A740" s="49" t="str">
        <f t="shared" si="11"/>
        <v/>
      </c>
    </row>
    <row r="741" spans="1:1" x14ac:dyDescent="0.2">
      <c r="A741" s="49" t="str">
        <f t="shared" si="11"/>
        <v/>
      </c>
    </row>
    <row r="742" spans="1:1" x14ac:dyDescent="0.2">
      <c r="A742" s="49" t="str">
        <f t="shared" si="11"/>
        <v/>
      </c>
    </row>
    <row r="743" spans="1:1" x14ac:dyDescent="0.2">
      <c r="A743" s="49" t="str">
        <f t="shared" si="11"/>
        <v/>
      </c>
    </row>
    <row r="744" spans="1:1" x14ac:dyDescent="0.2">
      <c r="A744" s="49" t="str">
        <f t="shared" si="11"/>
        <v/>
      </c>
    </row>
    <row r="745" spans="1:1" x14ac:dyDescent="0.2">
      <c r="A745" s="49" t="str">
        <f t="shared" si="11"/>
        <v/>
      </c>
    </row>
    <row r="746" spans="1:1" x14ac:dyDescent="0.2">
      <c r="A746" s="49" t="str">
        <f t="shared" si="11"/>
        <v/>
      </c>
    </row>
    <row r="747" spans="1:1" x14ac:dyDescent="0.2">
      <c r="A747" s="49" t="str">
        <f t="shared" si="11"/>
        <v/>
      </c>
    </row>
    <row r="748" spans="1:1" x14ac:dyDescent="0.2">
      <c r="A748" s="49" t="str">
        <f t="shared" si="11"/>
        <v/>
      </c>
    </row>
    <row r="749" spans="1:1" x14ac:dyDescent="0.2">
      <c r="A749" s="49" t="str">
        <f t="shared" si="11"/>
        <v/>
      </c>
    </row>
    <row r="750" spans="1:1" x14ac:dyDescent="0.2">
      <c r="A750" s="49" t="str">
        <f t="shared" si="11"/>
        <v/>
      </c>
    </row>
    <row r="751" spans="1:1" x14ac:dyDescent="0.2">
      <c r="A751" s="49" t="str">
        <f t="shared" si="11"/>
        <v/>
      </c>
    </row>
    <row r="752" spans="1:1" x14ac:dyDescent="0.2">
      <c r="A752" s="49" t="str">
        <f t="shared" si="11"/>
        <v/>
      </c>
    </row>
    <row r="753" spans="1:1" x14ac:dyDescent="0.2">
      <c r="A753" s="49" t="str">
        <f t="shared" si="11"/>
        <v/>
      </c>
    </row>
    <row r="754" spans="1:1" x14ac:dyDescent="0.2">
      <c r="A754" s="49" t="str">
        <f t="shared" si="11"/>
        <v/>
      </c>
    </row>
    <row r="755" spans="1:1" x14ac:dyDescent="0.2">
      <c r="A755" s="49" t="str">
        <f t="shared" si="11"/>
        <v/>
      </c>
    </row>
    <row r="756" spans="1:1" x14ac:dyDescent="0.2">
      <c r="A756" s="49" t="str">
        <f t="shared" si="11"/>
        <v/>
      </c>
    </row>
    <row r="757" spans="1:1" x14ac:dyDescent="0.2">
      <c r="A757" s="49" t="str">
        <f t="shared" si="11"/>
        <v/>
      </c>
    </row>
    <row r="758" spans="1:1" x14ac:dyDescent="0.2">
      <c r="A758" s="49" t="str">
        <f t="shared" si="11"/>
        <v/>
      </c>
    </row>
    <row r="759" spans="1:1" x14ac:dyDescent="0.2">
      <c r="A759" s="49" t="str">
        <f t="shared" si="11"/>
        <v/>
      </c>
    </row>
    <row r="760" spans="1:1" x14ac:dyDescent="0.2">
      <c r="A760" s="49" t="str">
        <f t="shared" si="11"/>
        <v/>
      </c>
    </row>
    <row r="761" spans="1:1" x14ac:dyDescent="0.2">
      <c r="A761" s="49" t="str">
        <f t="shared" si="11"/>
        <v/>
      </c>
    </row>
    <row r="762" spans="1:1" x14ac:dyDescent="0.2">
      <c r="A762" s="49" t="str">
        <f t="shared" si="11"/>
        <v/>
      </c>
    </row>
    <row r="763" spans="1:1" x14ac:dyDescent="0.2">
      <c r="A763" s="49" t="str">
        <f t="shared" si="11"/>
        <v/>
      </c>
    </row>
    <row r="764" spans="1:1" x14ac:dyDescent="0.2">
      <c r="A764" s="49" t="str">
        <f t="shared" si="11"/>
        <v/>
      </c>
    </row>
    <row r="765" spans="1:1" x14ac:dyDescent="0.2">
      <c r="A765" s="49" t="str">
        <f t="shared" si="11"/>
        <v/>
      </c>
    </row>
    <row r="766" spans="1:1" x14ac:dyDescent="0.2">
      <c r="A766" s="49" t="str">
        <f t="shared" si="11"/>
        <v/>
      </c>
    </row>
    <row r="767" spans="1:1" x14ac:dyDescent="0.2">
      <c r="A767" s="49" t="str">
        <f t="shared" si="11"/>
        <v/>
      </c>
    </row>
    <row r="768" spans="1:1" x14ac:dyDescent="0.2">
      <c r="A768" s="49" t="str">
        <f t="shared" si="11"/>
        <v/>
      </c>
    </row>
    <row r="769" spans="1:1" x14ac:dyDescent="0.2">
      <c r="A769" s="49" t="str">
        <f t="shared" si="11"/>
        <v/>
      </c>
    </row>
    <row r="770" spans="1:1" x14ac:dyDescent="0.2">
      <c r="A770" s="49" t="str">
        <f t="shared" si="11"/>
        <v/>
      </c>
    </row>
    <row r="771" spans="1:1" x14ac:dyDescent="0.2">
      <c r="A771" s="49" t="str">
        <f t="shared" si="11"/>
        <v/>
      </c>
    </row>
    <row r="772" spans="1:1" x14ac:dyDescent="0.2">
      <c r="A772" s="49" t="str">
        <f t="shared" ref="A772:A835" si="12">IF(AND(B771&lt;&gt;"",B772=""),$A$2&amp;"---&gt;","")</f>
        <v/>
      </c>
    </row>
    <row r="773" spans="1:1" x14ac:dyDescent="0.2">
      <c r="A773" s="49" t="str">
        <f t="shared" si="12"/>
        <v/>
      </c>
    </row>
    <row r="774" spans="1:1" x14ac:dyDescent="0.2">
      <c r="A774" s="49" t="str">
        <f t="shared" si="12"/>
        <v/>
      </c>
    </row>
    <row r="775" spans="1:1" x14ac:dyDescent="0.2">
      <c r="A775" s="49" t="str">
        <f t="shared" si="12"/>
        <v/>
      </c>
    </row>
    <row r="776" spans="1:1" x14ac:dyDescent="0.2">
      <c r="A776" s="49" t="str">
        <f t="shared" si="12"/>
        <v/>
      </c>
    </row>
    <row r="777" spans="1:1" x14ac:dyDescent="0.2">
      <c r="A777" s="49" t="str">
        <f t="shared" si="12"/>
        <v/>
      </c>
    </row>
    <row r="778" spans="1:1" x14ac:dyDescent="0.2">
      <c r="A778" s="49" t="str">
        <f t="shared" si="12"/>
        <v/>
      </c>
    </row>
    <row r="779" spans="1:1" x14ac:dyDescent="0.2">
      <c r="A779" s="49" t="str">
        <f t="shared" si="12"/>
        <v/>
      </c>
    </row>
    <row r="780" spans="1:1" x14ac:dyDescent="0.2">
      <c r="A780" s="49" t="str">
        <f t="shared" si="12"/>
        <v/>
      </c>
    </row>
    <row r="781" spans="1:1" x14ac:dyDescent="0.2">
      <c r="A781" s="49" t="str">
        <f t="shared" si="12"/>
        <v/>
      </c>
    </row>
    <row r="782" spans="1:1" x14ac:dyDescent="0.2">
      <c r="A782" s="49" t="str">
        <f t="shared" si="12"/>
        <v/>
      </c>
    </row>
    <row r="783" spans="1:1" x14ac:dyDescent="0.2">
      <c r="A783" s="49" t="str">
        <f t="shared" si="12"/>
        <v/>
      </c>
    </row>
    <row r="784" spans="1:1" x14ac:dyDescent="0.2">
      <c r="A784" s="49" t="str">
        <f t="shared" si="12"/>
        <v/>
      </c>
    </row>
    <row r="785" spans="1:1" x14ac:dyDescent="0.2">
      <c r="A785" s="49" t="str">
        <f t="shared" si="12"/>
        <v/>
      </c>
    </row>
    <row r="786" spans="1:1" x14ac:dyDescent="0.2">
      <c r="A786" s="49" t="str">
        <f t="shared" si="12"/>
        <v/>
      </c>
    </row>
    <row r="787" spans="1:1" x14ac:dyDescent="0.2">
      <c r="A787" s="49" t="str">
        <f t="shared" si="12"/>
        <v/>
      </c>
    </row>
    <row r="788" spans="1:1" x14ac:dyDescent="0.2">
      <c r="A788" s="49" t="str">
        <f t="shared" si="12"/>
        <v/>
      </c>
    </row>
    <row r="789" spans="1:1" x14ac:dyDescent="0.2">
      <c r="A789" s="49" t="str">
        <f t="shared" si="12"/>
        <v/>
      </c>
    </row>
    <row r="790" spans="1:1" x14ac:dyDescent="0.2">
      <c r="A790" s="49" t="str">
        <f t="shared" si="12"/>
        <v/>
      </c>
    </row>
    <row r="791" spans="1:1" x14ac:dyDescent="0.2">
      <c r="A791" s="49" t="str">
        <f t="shared" si="12"/>
        <v/>
      </c>
    </row>
    <row r="792" spans="1:1" x14ac:dyDescent="0.2">
      <c r="A792" s="49" t="str">
        <f t="shared" si="12"/>
        <v/>
      </c>
    </row>
    <row r="793" spans="1:1" x14ac:dyDescent="0.2">
      <c r="A793" s="49" t="str">
        <f t="shared" si="12"/>
        <v/>
      </c>
    </row>
    <row r="794" spans="1:1" x14ac:dyDescent="0.2">
      <c r="A794" s="49" t="str">
        <f t="shared" si="12"/>
        <v/>
      </c>
    </row>
    <row r="795" spans="1:1" x14ac:dyDescent="0.2">
      <c r="A795" s="49" t="str">
        <f t="shared" si="12"/>
        <v/>
      </c>
    </row>
    <row r="796" spans="1:1" x14ac:dyDescent="0.2">
      <c r="A796" s="49" t="str">
        <f t="shared" si="12"/>
        <v/>
      </c>
    </row>
    <row r="797" spans="1:1" x14ac:dyDescent="0.2">
      <c r="A797" s="49" t="str">
        <f t="shared" si="12"/>
        <v/>
      </c>
    </row>
    <row r="798" spans="1:1" x14ac:dyDescent="0.2">
      <c r="A798" s="49" t="str">
        <f t="shared" si="12"/>
        <v/>
      </c>
    </row>
    <row r="799" spans="1:1" x14ac:dyDescent="0.2">
      <c r="A799" s="49" t="str">
        <f t="shared" si="12"/>
        <v/>
      </c>
    </row>
    <row r="800" spans="1:1" x14ac:dyDescent="0.2">
      <c r="A800" s="49" t="str">
        <f t="shared" si="12"/>
        <v/>
      </c>
    </row>
    <row r="801" spans="1:1" x14ac:dyDescent="0.2">
      <c r="A801" s="49" t="str">
        <f t="shared" si="12"/>
        <v/>
      </c>
    </row>
    <row r="802" spans="1:1" x14ac:dyDescent="0.2">
      <c r="A802" s="49" t="str">
        <f t="shared" si="12"/>
        <v/>
      </c>
    </row>
    <row r="803" spans="1:1" x14ac:dyDescent="0.2">
      <c r="A803" s="49" t="str">
        <f t="shared" si="12"/>
        <v/>
      </c>
    </row>
    <row r="804" spans="1:1" x14ac:dyDescent="0.2">
      <c r="A804" s="49" t="str">
        <f t="shared" si="12"/>
        <v/>
      </c>
    </row>
    <row r="805" spans="1:1" x14ac:dyDescent="0.2">
      <c r="A805" s="49" t="str">
        <f t="shared" si="12"/>
        <v/>
      </c>
    </row>
    <row r="806" spans="1:1" x14ac:dyDescent="0.2">
      <c r="A806" s="49" t="str">
        <f t="shared" si="12"/>
        <v/>
      </c>
    </row>
    <row r="807" spans="1:1" x14ac:dyDescent="0.2">
      <c r="A807" s="49" t="str">
        <f t="shared" si="12"/>
        <v/>
      </c>
    </row>
    <row r="808" spans="1:1" x14ac:dyDescent="0.2">
      <c r="A808" s="49" t="str">
        <f t="shared" si="12"/>
        <v/>
      </c>
    </row>
    <row r="809" spans="1:1" x14ac:dyDescent="0.2">
      <c r="A809" s="49" t="str">
        <f t="shared" si="12"/>
        <v/>
      </c>
    </row>
    <row r="810" spans="1:1" x14ac:dyDescent="0.2">
      <c r="A810" s="49" t="str">
        <f t="shared" si="12"/>
        <v/>
      </c>
    </row>
    <row r="811" spans="1:1" x14ac:dyDescent="0.2">
      <c r="A811" s="49" t="str">
        <f t="shared" si="12"/>
        <v/>
      </c>
    </row>
    <row r="812" spans="1:1" x14ac:dyDescent="0.2">
      <c r="A812" s="49" t="str">
        <f t="shared" si="12"/>
        <v/>
      </c>
    </row>
    <row r="813" spans="1:1" x14ac:dyDescent="0.2">
      <c r="A813" s="49" t="str">
        <f t="shared" si="12"/>
        <v/>
      </c>
    </row>
    <row r="814" spans="1:1" x14ac:dyDescent="0.2">
      <c r="A814" s="49" t="str">
        <f t="shared" si="12"/>
        <v/>
      </c>
    </row>
    <row r="815" spans="1:1" x14ac:dyDescent="0.2">
      <c r="A815" s="49" t="str">
        <f t="shared" si="12"/>
        <v/>
      </c>
    </row>
    <row r="816" spans="1:1" x14ac:dyDescent="0.2">
      <c r="A816" s="49" t="str">
        <f t="shared" si="12"/>
        <v/>
      </c>
    </row>
    <row r="817" spans="1:1" x14ac:dyDescent="0.2">
      <c r="A817" s="49" t="str">
        <f t="shared" si="12"/>
        <v/>
      </c>
    </row>
    <row r="818" spans="1:1" x14ac:dyDescent="0.2">
      <c r="A818" s="49" t="str">
        <f t="shared" si="12"/>
        <v/>
      </c>
    </row>
    <row r="819" spans="1:1" x14ac:dyDescent="0.2">
      <c r="A819" s="49" t="str">
        <f t="shared" si="12"/>
        <v/>
      </c>
    </row>
    <row r="820" spans="1:1" x14ac:dyDescent="0.2">
      <c r="A820" s="49" t="str">
        <f t="shared" si="12"/>
        <v/>
      </c>
    </row>
    <row r="821" spans="1:1" x14ac:dyDescent="0.2">
      <c r="A821" s="49" t="str">
        <f t="shared" si="12"/>
        <v/>
      </c>
    </row>
    <row r="822" spans="1:1" x14ac:dyDescent="0.2">
      <c r="A822" s="49" t="str">
        <f t="shared" si="12"/>
        <v/>
      </c>
    </row>
    <row r="823" spans="1:1" x14ac:dyDescent="0.2">
      <c r="A823" s="49" t="str">
        <f t="shared" si="12"/>
        <v/>
      </c>
    </row>
    <row r="824" spans="1:1" x14ac:dyDescent="0.2">
      <c r="A824" s="49" t="str">
        <f t="shared" si="12"/>
        <v/>
      </c>
    </row>
    <row r="825" spans="1:1" x14ac:dyDescent="0.2">
      <c r="A825" s="49" t="str">
        <f t="shared" si="12"/>
        <v/>
      </c>
    </row>
    <row r="826" spans="1:1" x14ac:dyDescent="0.2">
      <c r="A826" s="49" t="str">
        <f t="shared" si="12"/>
        <v/>
      </c>
    </row>
    <row r="827" spans="1:1" x14ac:dyDescent="0.2">
      <c r="A827" s="49" t="str">
        <f t="shared" si="12"/>
        <v/>
      </c>
    </row>
    <row r="828" spans="1:1" x14ac:dyDescent="0.2">
      <c r="A828" s="49" t="str">
        <f t="shared" si="12"/>
        <v/>
      </c>
    </row>
    <row r="829" spans="1:1" x14ac:dyDescent="0.2">
      <c r="A829" s="49" t="str">
        <f t="shared" si="12"/>
        <v/>
      </c>
    </row>
    <row r="830" spans="1:1" x14ac:dyDescent="0.2">
      <c r="A830" s="49" t="str">
        <f t="shared" si="12"/>
        <v/>
      </c>
    </row>
    <row r="831" spans="1:1" x14ac:dyDescent="0.2">
      <c r="A831" s="49" t="str">
        <f t="shared" si="12"/>
        <v/>
      </c>
    </row>
    <row r="832" spans="1:1" x14ac:dyDescent="0.2">
      <c r="A832" s="49" t="str">
        <f t="shared" si="12"/>
        <v/>
      </c>
    </row>
    <row r="833" spans="1:1" x14ac:dyDescent="0.2">
      <c r="A833" s="49" t="str">
        <f t="shared" si="12"/>
        <v/>
      </c>
    </row>
    <row r="834" spans="1:1" x14ac:dyDescent="0.2">
      <c r="A834" s="49" t="str">
        <f t="shared" si="12"/>
        <v/>
      </c>
    </row>
    <row r="835" spans="1:1" x14ac:dyDescent="0.2">
      <c r="A835" s="49" t="str">
        <f t="shared" si="12"/>
        <v/>
      </c>
    </row>
    <row r="836" spans="1:1" x14ac:dyDescent="0.2">
      <c r="A836" s="49" t="str">
        <f t="shared" ref="A836:A899" si="13">IF(AND(B835&lt;&gt;"",B836=""),$A$2&amp;"---&gt;","")</f>
        <v/>
      </c>
    </row>
    <row r="837" spans="1:1" x14ac:dyDescent="0.2">
      <c r="A837" s="49" t="str">
        <f t="shared" si="13"/>
        <v/>
      </c>
    </row>
    <row r="838" spans="1:1" x14ac:dyDescent="0.2">
      <c r="A838" s="49" t="str">
        <f t="shared" si="13"/>
        <v/>
      </c>
    </row>
    <row r="839" spans="1:1" x14ac:dyDescent="0.2">
      <c r="A839" s="49" t="str">
        <f t="shared" si="13"/>
        <v/>
      </c>
    </row>
    <row r="840" spans="1:1" x14ac:dyDescent="0.2">
      <c r="A840" s="49" t="str">
        <f t="shared" si="13"/>
        <v/>
      </c>
    </row>
    <row r="841" spans="1:1" x14ac:dyDescent="0.2">
      <c r="A841" s="49" t="str">
        <f t="shared" si="13"/>
        <v/>
      </c>
    </row>
    <row r="842" spans="1:1" x14ac:dyDescent="0.2">
      <c r="A842" s="49" t="str">
        <f t="shared" si="13"/>
        <v/>
      </c>
    </row>
    <row r="843" spans="1:1" x14ac:dyDescent="0.2">
      <c r="A843" s="49" t="str">
        <f t="shared" si="13"/>
        <v/>
      </c>
    </row>
    <row r="844" spans="1:1" x14ac:dyDescent="0.2">
      <c r="A844" s="49" t="str">
        <f t="shared" si="13"/>
        <v/>
      </c>
    </row>
    <row r="845" spans="1:1" x14ac:dyDescent="0.2">
      <c r="A845" s="49" t="str">
        <f t="shared" si="13"/>
        <v/>
      </c>
    </row>
    <row r="846" spans="1:1" x14ac:dyDescent="0.2">
      <c r="A846" s="49" t="str">
        <f t="shared" si="13"/>
        <v/>
      </c>
    </row>
    <row r="847" spans="1:1" x14ac:dyDescent="0.2">
      <c r="A847" s="49" t="str">
        <f t="shared" si="13"/>
        <v/>
      </c>
    </row>
    <row r="848" spans="1:1" x14ac:dyDescent="0.2">
      <c r="A848" s="49" t="str">
        <f t="shared" si="13"/>
        <v/>
      </c>
    </row>
    <row r="849" spans="1:1" x14ac:dyDescent="0.2">
      <c r="A849" s="49" t="str">
        <f t="shared" si="13"/>
        <v/>
      </c>
    </row>
    <row r="850" spans="1:1" x14ac:dyDescent="0.2">
      <c r="A850" s="49" t="str">
        <f t="shared" si="13"/>
        <v/>
      </c>
    </row>
    <row r="851" spans="1:1" x14ac:dyDescent="0.2">
      <c r="A851" s="49" t="str">
        <f t="shared" si="13"/>
        <v/>
      </c>
    </row>
    <row r="852" spans="1:1" x14ac:dyDescent="0.2">
      <c r="A852" s="49" t="str">
        <f t="shared" si="13"/>
        <v/>
      </c>
    </row>
    <row r="853" spans="1:1" x14ac:dyDescent="0.2">
      <c r="A853" s="49" t="str">
        <f t="shared" si="13"/>
        <v/>
      </c>
    </row>
    <row r="854" spans="1:1" x14ac:dyDescent="0.2">
      <c r="A854" s="49" t="str">
        <f t="shared" si="13"/>
        <v/>
      </c>
    </row>
    <row r="855" spans="1:1" x14ac:dyDescent="0.2">
      <c r="A855" s="49" t="str">
        <f t="shared" si="13"/>
        <v/>
      </c>
    </row>
    <row r="856" spans="1:1" x14ac:dyDescent="0.2">
      <c r="A856" s="49" t="str">
        <f t="shared" si="13"/>
        <v/>
      </c>
    </row>
    <row r="857" spans="1:1" x14ac:dyDescent="0.2">
      <c r="A857" s="49" t="str">
        <f t="shared" si="13"/>
        <v/>
      </c>
    </row>
    <row r="858" spans="1:1" x14ac:dyDescent="0.2">
      <c r="A858" s="49" t="str">
        <f t="shared" si="13"/>
        <v/>
      </c>
    </row>
    <row r="859" spans="1:1" x14ac:dyDescent="0.2">
      <c r="A859" s="49" t="str">
        <f t="shared" si="13"/>
        <v/>
      </c>
    </row>
    <row r="860" spans="1:1" x14ac:dyDescent="0.2">
      <c r="A860" s="49" t="str">
        <f t="shared" si="13"/>
        <v/>
      </c>
    </row>
    <row r="861" spans="1:1" x14ac:dyDescent="0.2">
      <c r="A861" s="49" t="str">
        <f t="shared" si="13"/>
        <v/>
      </c>
    </row>
    <row r="862" spans="1:1" x14ac:dyDescent="0.2">
      <c r="A862" s="49" t="str">
        <f t="shared" si="13"/>
        <v/>
      </c>
    </row>
    <row r="863" spans="1:1" x14ac:dyDescent="0.2">
      <c r="A863" s="49" t="str">
        <f t="shared" si="13"/>
        <v/>
      </c>
    </row>
    <row r="864" spans="1:1" x14ac:dyDescent="0.2">
      <c r="A864" s="49" t="str">
        <f t="shared" si="13"/>
        <v/>
      </c>
    </row>
    <row r="865" spans="1:1" x14ac:dyDescent="0.2">
      <c r="A865" s="49" t="str">
        <f t="shared" si="13"/>
        <v/>
      </c>
    </row>
    <row r="866" spans="1:1" x14ac:dyDescent="0.2">
      <c r="A866" s="49" t="str">
        <f t="shared" si="13"/>
        <v/>
      </c>
    </row>
    <row r="867" spans="1:1" x14ac:dyDescent="0.2">
      <c r="A867" s="49" t="str">
        <f t="shared" si="13"/>
        <v/>
      </c>
    </row>
    <row r="868" spans="1:1" x14ac:dyDescent="0.2">
      <c r="A868" s="49" t="str">
        <f t="shared" si="13"/>
        <v/>
      </c>
    </row>
    <row r="869" spans="1:1" x14ac:dyDescent="0.2">
      <c r="A869" s="49" t="str">
        <f t="shared" si="13"/>
        <v/>
      </c>
    </row>
    <row r="870" spans="1:1" x14ac:dyDescent="0.2">
      <c r="A870" s="49" t="str">
        <f t="shared" si="13"/>
        <v/>
      </c>
    </row>
    <row r="871" spans="1:1" x14ac:dyDescent="0.2">
      <c r="A871" s="49" t="str">
        <f t="shared" si="13"/>
        <v/>
      </c>
    </row>
    <row r="872" spans="1:1" x14ac:dyDescent="0.2">
      <c r="A872" s="49" t="str">
        <f t="shared" si="13"/>
        <v/>
      </c>
    </row>
    <row r="873" spans="1:1" x14ac:dyDescent="0.2">
      <c r="A873" s="49" t="str">
        <f t="shared" si="13"/>
        <v/>
      </c>
    </row>
    <row r="874" spans="1:1" x14ac:dyDescent="0.2">
      <c r="A874" s="49" t="str">
        <f t="shared" si="13"/>
        <v/>
      </c>
    </row>
    <row r="875" spans="1:1" x14ac:dyDescent="0.2">
      <c r="A875" s="49" t="str">
        <f t="shared" si="13"/>
        <v/>
      </c>
    </row>
    <row r="876" spans="1:1" x14ac:dyDescent="0.2">
      <c r="A876" s="49" t="str">
        <f t="shared" si="13"/>
        <v/>
      </c>
    </row>
    <row r="877" spans="1:1" x14ac:dyDescent="0.2">
      <c r="A877" s="49" t="str">
        <f t="shared" si="13"/>
        <v/>
      </c>
    </row>
    <row r="878" spans="1:1" x14ac:dyDescent="0.2">
      <c r="A878" s="49" t="str">
        <f t="shared" si="13"/>
        <v/>
      </c>
    </row>
    <row r="879" spans="1:1" x14ac:dyDescent="0.2">
      <c r="A879" s="49" t="str">
        <f t="shared" si="13"/>
        <v/>
      </c>
    </row>
    <row r="880" spans="1:1" x14ac:dyDescent="0.2">
      <c r="A880" s="49" t="str">
        <f t="shared" si="13"/>
        <v/>
      </c>
    </row>
    <row r="881" spans="1:1" x14ac:dyDescent="0.2">
      <c r="A881" s="49" t="str">
        <f t="shared" si="13"/>
        <v/>
      </c>
    </row>
    <row r="882" spans="1:1" x14ac:dyDescent="0.2">
      <c r="A882" s="49" t="str">
        <f t="shared" si="13"/>
        <v/>
      </c>
    </row>
    <row r="883" spans="1:1" x14ac:dyDescent="0.2">
      <c r="A883" s="49" t="str">
        <f t="shared" si="13"/>
        <v/>
      </c>
    </row>
    <row r="884" spans="1:1" x14ac:dyDescent="0.2">
      <c r="A884" s="49" t="str">
        <f t="shared" si="13"/>
        <v/>
      </c>
    </row>
    <row r="885" spans="1:1" x14ac:dyDescent="0.2">
      <c r="A885" s="49" t="str">
        <f t="shared" si="13"/>
        <v/>
      </c>
    </row>
    <row r="886" spans="1:1" x14ac:dyDescent="0.2">
      <c r="A886" s="49" t="str">
        <f t="shared" si="13"/>
        <v/>
      </c>
    </row>
    <row r="887" spans="1:1" x14ac:dyDescent="0.2">
      <c r="A887" s="49" t="str">
        <f t="shared" si="13"/>
        <v/>
      </c>
    </row>
    <row r="888" spans="1:1" x14ac:dyDescent="0.2">
      <c r="A888" s="49" t="str">
        <f t="shared" si="13"/>
        <v/>
      </c>
    </row>
    <row r="889" spans="1:1" x14ac:dyDescent="0.2">
      <c r="A889" s="49" t="str">
        <f t="shared" si="13"/>
        <v/>
      </c>
    </row>
    <row r="890" spans="1:1" x14ac:dyDescent="0.2">
      <c r="A890" s="49" t="str">
        <f t="shared" si="13"/>
        <v/>
      </c>
    </row>
    <row r="891" spans="1:1" x14ac:dyDescent="0.2">
      <c r="A891" s="49" t="str">
        <f t="shared" si="13"/>
        <v/>
      </c>
    </row>
    <row r="892" spans="1:1" x14ac:dyDescent="0.2">
      <c r="A892" s="49" t="str">
        <f t="shared" si="13"/>
        <v/>
      </c>
    </row>
    <row r="893" spans="1:1" x14ac:dyDescent="0.2">
      <c r="A893" s="49" t="str">
        <f t="shared" si="13"/>
        <v/>
      </c>
    </row>
    <row r="894" spans="1:1" x14ac:dyDescent="0.2">
      <c r="A894" s="49" t="str">
        <f t="shared" si="13"/>
        <v/>
      </c>
    </row>
    <row r="895" spans="1:1" x14ac:dyDescent="0.2">
      <c r="A895" s="49" t="str">
        <f t="shared" si="13"/>
        <v/>
      </c>
    </row>
    <row r="896" spans="1:1" x14ac:dyDescent="0.2">
      <c r="A896" s="49" t="str">
        <f t="shared" si="13"/>
        <v/>
      </c>
    </row>
    <row r="897" spans="1:1" x14ac:dyDescent="0.2">
      <c r="A897" s="49" t="str">
        <f t="shared" si="13"/>
        <v/>
      </c>
    </row>
    <row r="898" spans="1:1" x14ac:dyDescent="0.2">
      <c r="A898" s="49" t="str">
        <f t="shared" si="13"/>
        <v/>
      </c>
    </row>
    <row r="899" spans="1:1" x14ac:dyDescent="0.2">
      <c r="A899" s="49" t="str">
        <f t="shared" si="13"/>
        <v/>
      </c>
    </row>
    <row r="900" spans="1:1" x14ac:dyDescent="0.2">
      <c r="A900" s="49" t="str">
        <f t="shared" ref="A900:A963" si="14">IF(AND(B899&lt;&gt;"",B900=""),$A$2&amp;"---&gt;","")</f>
        <v/>
      </c>
    </row>
    <row r="901" spans="1:1" x14ac:dyDescent="0.2">
      <c r="A901" s="49" t="str">
        <f t="shared" si="14"/>
        <v/>
      </c>
    </row>
    <row r="902" spans="1:1" x14ac:dyDescent="0.2">
      <c r="A902" s="49" t="str">
        <f t="shared" si="14"/>
        <v/>
      </c>
    </row>
    <row r="903" spans="1:1" x14ac:dyDescent="0.2">
      <c r="A903" s="49" t="str">
        <f t="shared" si="14"/>
        <v/>
      </c>
    </row>
    <row r="904" spans="1:1" x14ac:dyDescent="0.2">
      <c r="A904" s="49" t="str">
        <f t="shared" si="14"/>
        <v/>
      </c>
    </row>
    <row r="905" spans="1:1" x14ac:dyDescent="0.2">
      <c r="A905" s="49" t="str">
        <f t="shared" si="14"/>
        <v/>
      </c>
    </row>
    <row r="906" spans="1:1" x14ac:dyDescent="0.2">
      <c r="A906" s="49" t="str">
        <f t="shared" si="14"/>
        <v/>
      </c>
    </row>
    <row r="907" spans="1:1" x14ac:dyDescent="0.2">
      <c r="A907" s="49" t="str">
        <f t="shared" si="14"/>
        <v/>
      </c>
    </row>
    <row r="908" spans="1:1" x14ac:dyDescent="0.2">
      <c r="A908" s="49" t="str">
        <f t="shared" si="14"/>
        <v/>
      </c>
    </row>
    <row r="909" spans="1:1" x14ac:dyDescent="0.2">
      <c r="A909" s="49" t="str">
        <f t="shared" si="14"/>
        <v/>
      </c>
    </row>
    <row r="910" spans="1:1" x14ac:dyDescent="0.2">
      <c r="A910" s="49" t="str">
        <f t="shared" si="14"/>
        <v/>
      </c>
    </row>
    <row r="911" spans="1:1" x14ac:dyDescent="0.2">
      <c r="A911" s="49" t="str">
        <f t="shared" si="14"/>
        <v/>
      </c>
    </row>
    <row r="912" spans="1:1" x14ac:dyDescent="0.2">
      <c r="A912" s="49" t="str">
        <f t="shared" si="14"/>
        <v/>
      </c>
    </row>
    <row r="913" spans="1:1" x14ac:dyDescent="0.2">
      <c r="A913" s="49" t="str">
        <f t="shared" si="14"/>
        <v/>
      </c>
    </row>
    <row r="914" spans="1:1" x14ac:dyDescent="0.2">
      <c r="A914" s="49" t="str">
        <f t="shared" si="14"/>
        <v/>
      </c>
    </row>
    <row r="915" spans="1:1" x14ac:dyDescent="0.2">
      <c r="A915" s="49" t="str">
        <f t="shared" si="14"/>
        <v/>
      </c>
    </row>
    <row r="916" spans="1:1" x14ac:dyDescent="0.2">
      <c r="A916" s="49" t="str">
        <f t="shared" si="14"/>
        <v/>
      </c>
    </row>
    <row r="917" spans="1:1" x14ac:dyDescent="0.2">
      <c r="A917" s="49" t="str">
        <f t="shared" si="14"/>
        <v/>
      </c>
    </row>
    <row r="918" spans="1:1" x14ac:dyDescent="0.2">
      <c r="A918" s="49" t="str">
        <f t="shared" si="14"/>
        <v/>
      </c>
    </row>
    <row r="919" spans="1:1" x14ac:dyDescent="0.2">
      <c r="A919" s="49" t="str">
        <f t="shared" si="14"/>
        <v/>
      </c>
    </row>
    <row r="920" spans="1:1" x14ac:dyDescent="0.2">
      <c r="A920" s="49" t="str">
        <f t="shared" si="14"/>
        <v/>
      </c>
    </row>
    <row r="921" spans="1:1" x14ac:dyDescent="0.2">
      <c r="A921" s="49" t="str">
        <f t="shared" si="14"/>
        <v/>
      </c>
    </row>
    <row r="922" spans="1:1" x14ac:dyDescent="0.2">
      <c r="A922" s="49" t="str">
        <f t="shared" si="14"/>
        <v/>
      </c>
    </row>
    <row r="923" spans="1:1" x14ac:dyDescent="0.2">
      <c r="A923" s="49" t="str">
        <f t="shared" si="14"/>
        <v/>
      </c>
    </row>
    <row r="924" spans="1:1" x14ac:dyDescent="0.2">
      <c r="A924" s="49" t="str">
        <f t="shared" si="14"/>
        <v/>
      </c>
    </row>
    <row r="925" spans="1:1" x14ac:dyDescent="0.2">
      <c r="A925" s="49" t="str">
        <f t="shared" si="14"/>
        <v/>
      </c>
    </row>
    <row r="926" spans="1:1" x14ac:dyDescent="0.2">
      <c r="A926" s="49" t="str">
        <f t="shared" si="14"/>
        <v/>
      </c>
    </row>
    <row r="927" spans="1:1" x14ac:dyDescent="0.2">
      <c r="A927" s="49" t="str">
        <f t="shared" si="14"/>
        <v/>
      </c>
    </row>
    <row r="928" spans="1:1" x14ac:dyDescent="0.2">
      <c r="A928" s="49" t="str">
        <f t="shared" si="14"/>
        <v/>
      </c>
    </row>
    <row r="929" spans="1:1" x14ac:dyDescent="0.2">
      <c r="A929" s="49" t="str">
        <f t="shared" si="14"/>
        <v/>
      </c>
    </row>
    <row r="930" spans="1:1" x14ac:dyDescent="0.2">
      <c r="A930" s="49" t="str">
        <f t="shared" si="14"/>
        <v/>
      </c>
    </row>
    <row r="931" spans="1:1" x14ac:dyDescent="0.2">
      <c r="A931" s="49" t="str">
        <f t="shared" si="14"/>
        <v/>
      </c>
    </row>
    <row r="932" spans="1:1" x14ac:dyDescent="0.2">
      <c r="A932" s="49" t="str">
        <f t="shared" si="14"/>
        <v/>
      </c>
    </row>
    <row r="933" spans="1:1" x14ac:dyDescent="0.2">
      <c r="A933" s="49" t="str">
        <f t="shared" si="14"/>
        <v/>
      </c>
    </row>
    <row r="934" spans="1:1" x14ac:dyDescent="0.2">
      <c r="A934" s="49" t="str">
        <f t="shared" si="14"/>
        <v/>
      </c>
    </row>
    <row r="935" spans="1:1" x14ac:dyDescent="0.2">
      <c r="A935" s="49" t="str">
        <f t="shared" si="14"/>
        <v/>
      </c>
    </row>
    <row r="936" spans="1:1" x14ac:dyDescent="0.2">
      <c r="A936" s="49" t="str">
        <f t="shared" si="14"/>
        <v/>
      </c>
    </row>
    <row r="937" spans="1:1" x14ac:dyDescent="0.2">
      <c r="A937" s="49" t="str">
        <f t="shared" si="14"/>
        <v/>
      </c>
    </row>
    <row r="938" spans="1:1" x14ac:dyDescent="0.2">
      <c r="A938" s="49" t="str">
        <f t="shared" si="14"/>
        <v/>
      </c>
    </row>
    <row r="939" spans="1:1" x14ac:dyDescent="0.2">
      <c r="A939" s="49" t="str">
        <f t="shared" si="14"/>
        <v/>
      </c>
    </row>
    <row r="940" spans="1:1" x14ac:dyDescent="0.2">
      <c r="A940" s="49" t="str">
        <f t="shared" si="14"/>
        <v/>
      </c>
    </row>
    <row r="941" spans="1:1" x14ac:dyDescent="0.2">
      <c r="A941" s="49" t="str">
        <f t="shared" si="14"/>
        <v/>
      </c>
    </row>
    <row r="942" spans="1:1" x14ac:dyDescent="0.2">
      <c r="A942" s="49" t="str">
        <f t="shared" si="14"/>
        <v/>
      </c>
    </row>
    <row r="943" spans="1:1" x14ac:dyDescent="0.2">
      <c r="A943" s="49" t="str">
        <f t="shared" si="14"/>
        <v/>
      </c>
    </row>
    <row r="944" spans="1:1" x14ac:dyDescent="0.2">
      <c r="A944" s="49" t="str">
        <f t="shared" si="14"/>
        <v/>
      </c>
    </row>
    <row r="945" spans="1:1" x14ac:dyDescent="0.2">
      <c r="A945" s="49" t="str">
        <f t="shared" si="14"/>
        <v/>
      </c>
    </row>
    <row r="946" spans="1:1" x14ac:dyDescent="0.2">
      <c r="A946" s="49" t="str">
        <f t="shared" si="14"/>
        <v/>
      </c>
    </row>
    <row r="947" spans="1:1" x14ac:dyDescent="0.2">
      <c r="A947" s="49" t="str">
        <f t="shared" si="14"/>
        <v/>
      </c>
    </row>
    <row r="948" spans="1:1" x14ac:dyDescent="0.2">
      <c r="A948" s="49" t="str">
        <f t="shared" si="14"/>
        <v/>
      </c>
    </row>
    <row r="949" spans="1:1" x14ac:dyDescent="0.2">
      <c r="A949" s="49" t="str">
        <f t="shared" si="14"/>
        <v/>
      </c>
    </row>
    <row r="950" spans="1:1" x14ac:dyDescent="0.2">
      <c r="A950" s="49" t="str">
        <f t="shared" si="14"/>
        <v/>
      </c>
    </row>
    <row r="951" spans="1:1" x14ac:dyDescent="0.2">
      <c r="A951" s="49" t="str">
        <f t="shared" si="14"/>
        <v/>
      </c>
    </row>
    <row r="952" spans="1:1" x14ac:dyDescent="0.2">
      <c r="A952" s="49" t="str">
        <f t="shared" si="14"/>
        <v/>
      </c>
    </row>
    <row r="953" spans="1:1" x14ac:dyDescent="0.2">
      <c r="A953" s="49" t="str">
        <f t="shared" si="14"/>
        <v/>
      </c>
    </row>
    <row r="954" spans="1:1" x14ac:dyDescent="0.2">
      <c r="A954" s="49" t="str">
        <f t="shared" si="14"/>
        <v/>
      </c>
    </row>
    <row r="955" spans="1:1" x14ac:dyDescent="0.2">
      <c r="A955" s="49" t="str">
        <f t="shared" si="14"/>
        <v/>
      </c>
    </row>
    <row r="956" spans="1:1" x14ac:dyDescent="0.2">
      <c r="A956" s="49" t="str">
        <f t="shared" si="14"/>
        <v/>
      </c>
    </row>
    <row r="957" spans="1:1" x14ac:dyDescent="0.2">
      <c r="A957" s="49" t="str">
        <f t="shared" si="14"/>
        <v/>
      </c>
    </row>
    <row r="958" spans="1:1" x14ac:dyDescent="0.2">
      <c r="A958" s="49" t="str">
        <f t="shared" si="14"/>
        <v/>
      </c>
    </row>
    <row r="959" spans="1:1" x14ac:dyDescent="0.2">
      <c r="A959" s="49" t="str">
        <f t="shared" si="14"/>
        <v/>
      </c>
    </row>
    <row r="960" spans="1:1" x14ac:dyDescent="0.2">
      <c r="A960" s="49" t="str">
        <f t="shared" si="14"/>
        <v/>
      </c>
    </row>
    <row r="961" spans="1:1" x14ac:dyDescent="0.2">
      <c r="A961" s="49" t="str">
        <f t="shared" si="14"/>
        <v/>
      </c>
    </row>
    <row r="962" spans="1:1" x14ac:dyDescent="0.2">
      <c r="A962" s="49" t="str">
        <f t="shared" si="14"/>
        <v/>
      </c>
    </row>
    <row r="963" spans="1:1" x14ac:dyDescent="0.2">
      <c r="A963" s="49" t="str">
        <f t="shared" si="14"/>
        <v/>
      </c>
    </row>
    <row r="964" spans="1:1" x14ac:dyDescent="0.2">
      <c r="A964" s="49" t="str">
        <f t="shared" ref="A964:A1027" si="15">IF(AND(B963&lt;&gt;"",B964=""),$A$2&amp;"---&gt;","")</f>
        <v/>
      </c>
    </row>
    <row r="965" spans="1:1" x14ac:dyDescent="0.2">
      <c r="A965" s="49" t="str">
        <f t="shared" si="15"/>
        <v/>
      </c>
    </row>
    <row r="966" spans="1:1" x14ac:dyDescent="0.2">
      <c r="A966" s="49" t="str">
        <f t="shared" si="15"/>
        <v/>
      </c>
    </row>
    <row r="967" spans="1:1" x14ac:dyDescent="0.2">
      <c r="A967" s="49" t="str">
        <f t="shared" si="15"/>
        <v/>
      </c>
    </row>
    <row r="968" spans="1:1" x14ac:dyDescent="0.2">
      <c r="A968" s="49" t="str">
        <f t="shared" si="15"/>
        <v/>
      </c>
    </row>
    <row r="969" spans="1:1" x14ac:dyDescent="0.2">
      <c r="A969" s="49" t="str">
        <f t="shared" si="15"/>
        <v/>
      </c>
    </row>
    <row r="970" spans="1:1" x14ac:dyDescent="0.2">
      <c r="A970" s="49" t="str">
        <f t="shared" si="15"/>
        <v/>
      </c>
    </row>
    <row r="971" spans="1:1" x14ac:dyDescent="0.2">
      <c r="A971" s="49" t="str">
        <f t="shared" si="15"/>
        <v/>
      </c>
    </row>
    <row r="972" spans="1:1" x14ac:dyDescent="0.2">
      <c r="A972" s="49" t="str">
        <f t="shared" si="15"/>
        <v/>
      </c>
    </row>
    <row r="973" spans="1:1" x14ac:dyDescent="0.2">
      <c r="A973" s="49" t="str">
        <f t="shared" si="15"/>
        <v/>
      </c>
    </row>
    <row r="974" spans="1:1" x14ac:dyDescent="0.2">
      <c r="A974" s="49" t="str">
        <f t="shared" si="15"/>
        <v/>
      </c>
    </row>
    <row r="975" spans="1:1" x14ac:dyDescent="0.2">
      <c r="A975" s="49" t="str">
        <f t="shared" si="15"/>
        <v/>
      </c>
    </row>
    <row r="976" spans="1:1" x14ac:dyDescent="0.2">
      <c r="A976" s="49" t="str">
        <f t="shared" si="15"/>
        <v/>
      </c>
    </row>
    <row r="977" spans="1:1" x14ac:dyDescent="0.2">
      <c r="A977" s="49" t="str">
        <f t="shared" si="15"/>
        <v/>
      </c>
    </row>
    <row r="978" spans="1:1" x14ac:dyDescent="0.2">
      <c r="A978" s="49" t="str">
        <f t="shared" si="15"/>
        <v/>
      </c>
    </row>
    <row r="979" spans="1:1" x14ac:dyDescent="0.2">
      <c r="A979" s="49" t="str">
        <f t="shared" si="15"/>
        <v/>
      </c>
    </row>
    <row r="980" spans="1:1" x14ac:dyDescent="0.2">
      <c r="A980" s="49" t="str">
        <f t="shared" si="15"/>
        <v/>
      </c>
    </row>
    <row r="981" spans="1:1" x14ac:dyDescent="0.2">
      <c r="A981" s="49" t="str">
        <f t="shared" si="15"/>
        <v/>
      </c>
    </row>
    <row r="982" spans="1:1" x14ac:dyDescent="0.2">
      <c r="A982" s="49" t="str">
        <f t="shared" si="15"/>
        <v/>
      </c>
    </row>
    <row r="983" spans="1:1" x14ac:dyDescent="0.2">
      <c r="A983" s="49" t="str">
        <f t="shared" si="15"/>
        <v/>
      </c>
    </row>
    <row r="984" spans="1:1" x14ac:dyDescent="0.2">
      <c r="A984" s="49" t="str">
        <f t="shared" si="15"/>
        <v/>
      </c>
    </row>
    <row r="985" spans="1:1" x14ac:dyDescent="0.2">
      <c r="A985" s="49" t="str">
        <f t="shared" si="15"/>
        <v/>
      </c>
    </row>
    <row r="986" spans="1:1" x14ac:dyDescent="0.2">
      <c r="A986" s="49" t="str">
        <f t="shared" si="15"/>
        <v/>
      </c>
    </row>
    <row r="987" spans="1:1" x14ac:dyDescent="0.2">
      <c r="A987" s="49" t="str">
        <f t="shared" si="15"/>
        <v/>
      </c>
    </row>
    <row r="988" spans="1:1" x14ac:dyDescent="0.2">
      <c r="A988" s="49" t="str">
        <f t="shared" si="15"/>
        <v/>
      </c>
    </row>
    <row r="989" spans="1:1" x14ac:dyDescent="0.2">
      <c r="A989" s="49" t="str">
        <f t="shared" si="15"/>
        <v/>
      </c>
    </row>
    <row r="990" spans="1:1" x14ac:dyDescent="0.2">
      <c r="A990" s="49" t="str">
        <f t="shared" si="15"/>
        <v/>
      </c>
    </row>
    <row r="991" spans="1:1" x14ac:dyDescent="0.2">
      <c r="A991" s="49" t="str">
        <f t="shared" si="15"/>
        <v/>
      </c>
    </row>
    <row r="992" spans="1:1" x14ac:dyDescent="0.2">
      <c r="A992" s="49" t="str">
        <f t="shared" si="15"/>
        <v/>
      </c>
    </row>
    <row r="993" spans="1:1" x14ac:dyDescent="0.2">
      <c r="A993" s="49" t="str">
        <f t="shared" si="15"/>
        <v/>
      </c>
    </row>
    <row r="994" spans="1:1" x14ac:dyDescent="0.2">
      <c r="A994" s="49" t="str">
        <f t="shared" si="15"/>
        <v/>
      </c>
    </row>
    <row r="995" spans="1:1" x14ac:dyDescent="0.2">
      <c r="A995" s="49" t="str">
        <f t="shared" si="15"/>
        <v/>
      </c>
    </row>
    <row r="996" spans="1:1" x14ac:dyDescent="0.2">
      <c r="A996" s="49" t="str">
        <f t="shared" si="15"/>
        <v/>
      </c>
    </row>
    <row r="997" spans="1:1" x14ac:dyDescent="0.2">
      <c r="A997" s="49" t="str">
        <f t="shared" si="15"/>
        <v/>
      </c>
    </row>
    <row r="998" spans="1:1" x14ac:dyDescent="0.2">
      <c r="A998" s="49" t="str">
        <f t="shared" si="15"/>
        <v/>
      </c>
    </row>
    <row r="999" spans="1:1" x14ac:dyDescent="0.2">
      <c r="A999" s="49" t="str">
        <f t="shared" si="15"/>
        <v/>
      </c>
    </row>
    <row r="1000" spans="1:1" x14ac:dyDescent="0.2">
      <c r="A1000" s="49" t="str">
        <f t="shared" si="15"/>
        <v/>
      </c>
    </row>
    <row r="1001" spans="1:1" x14ac:dyDescent="0.2">
      <c r="A1001" s="49" t="str">
        <f t="shared" si="15"/>
        <v/>
      </c>
    </row>
    <row r="1002" spans="1:1" x14ac:dyDescent="0.2">
      <c r="A1002" s="49" t="str">
        <f t="shared" si="15"/>
        <v/>
      </c>
    </row>
    <row r="1003" spans="1:1" x14ac:dyDescent="0.2">
      <c r="A1003" s="49" t="str">
        <f t="shared" si="15"/>
        <v/>
      </c>
    </row>
    <row r="1004" spans="1:1" x14ac:dyDescent="0.2">
      <c r="A1004" s="49" t="str">
        <f t="shared" si="15"/>
        <v/>
      </c>
    </row>
    <row r="1005" spans="1:1" x14ac:dyDescent="0.2">
      <c r="A1005" s="49" t="str">
        <f t="shared" si="15"/>
        <v/>
      </c>
    </row>
    <row r="1006" spans="1:1" x14ac:dyDescent="0.2">
      <c r="A1006" s="49" t="str">
        <f t="shared" si="15"/>
        <v/>
      </c>
    </row>
    <row r="1007" spans="1:1" x14ac:dyDescent="0.2">
      <c r="A1007" s="49" t="str">
        <f t="shared" si="15"/>
        <v/>
      </c>
    </row>
    <row r="1008" spans="1:1" x14ac:dyDescent="0.2">
      <c r="A1008" s="49" t="str">
        <f t="shared" si="15"/>
        <v/>
      </c>
    </row>
    <row r="1009" spans="1:1" x14ac:dyDescent="0.2">
      <c r="A1009" s="49" t="str">
        <f t="shared" si="15"/>
        <v/>
      </c>
    </row>
    <row r="1010" spans="1:1" x14ac:dyDescent="0.2">
      <c r="A1010" s="49" t="str">
        <f t="shared" si="15"/>
        <v/>
      </c>
    </row>
    <row r="1011" spans="1:1" x14ac:dyDescent="0.2">
      <c r="A1011" s="49" t="str">
        <f t="shared" si="15"/>
        <v/>
      </c>
    </row>
    <row r="1012" spans="1:1" x14ac:dyDescent="0.2">
      <c r="A1012" s="49" t="str">
        <f t="shared" si="15"/>
        <v/>
      </c>
    </row>
    <row r="1013" spans="1:1" x14ac:dyDescent="0.2">
      <c r="A1013" s="49" t="str">
        <f t="shared" si="15"/>
        <v/>
      </c>
    </row>
    <row r="1014" spans="1:1" x14ac:dyDescent="0.2">
      <c r="A1014" s="49" t="str">
        <f t="shared" si="15"/>
        <v/>
      </c>
    </row>
    <row r="1015" spans="1:1" x14ac:dyDescent="0.2">
      <c r="A1015" s="49" t="str">
        <f t="shared" si="15"/>
        <v/>
      </c>
    </row>
    <row r="1016" spans="1:1" x14ac:dyDescent="0.2">
      <c r="A1016" s="49" t="str">
        <f t="shared" si="15"/>
        <v/>
      </c>
    </row>
    <row r="1017" spans="1:1" x14ac:dyDescent="0.2">
      <c r="A1017" s="49" t="str">
        <f t="shared" si="15"/>
        <v/>
      </c>
    </row>
    <row r="1018" spans="1:1" x14ac:dyDescent="0.2">
      <c r="A1018" s="49" t="str">
        <f t="shared" si="15"/>
        <v/>
      </c>
    </row>
    <row r="1019" spans="1:1" x14ac:dyDescent="0.2">
      <c r="A1019" s="49" t="str">
        <f t="shared" si="15"/>
        <v/>
      </c>
    </row>
    <row r="1020" spans="1:1" x14ac:dyDescent="0.2">
      <c r="A1020" s="49" t="str">
        <f t="shared" si="15"/>
        <v/>
      </c>
    </row>
    <row r="1021" spans="1:1" x14ac:dyDescent="0.2">
      <c r="A1021" s="49" t="str">
        <f t="shared" si="15"/>
        <v/>
      </c>
    </row>
    <row r="1022" spans="1:1" x14ac:dyDescent="0.2">
      <c r="A1022" s="49" t="str">
        <f t="shared" si="15"/>
        <v/>
      </c>
    </row>
    <row r="1023" spans="1:1" x14ac:dyDescent="0.2">
      <c r="A1023" s="49" t="str">
        <f t="shared" si="15"/>
        <v/>
      </c>
    </row>
    <row r="1024" spans="1:1" x14ac:dyDescent="0.2">
      <c r="A1024" s="49" t="str">
        <f t="shared" si="15"/>
        <v/>
      </c>
    </row>
    <row r="1025" spans="1:1" x14ac:dyDescent="0.2">
      <c r="A1025" s="49" t="str">
        <f t="shared" si="15"/>
        <v/>
      </c>
    </row>
    <row r="1026" spans="1:1" x14ac:dyDescent="0.2">
      <c r="A1026" s="49" t="str">
        <f t="shared" si="15"/>
        <v/>
      </c>
    </row>
    <row r="1027" spans="1:1" x14ac:dyDescent="0.2">
      <c r="A1027" s="49" t="str">
        <f t="shared" si="15"/>
        <v/>
      </c>
    </row>
    <row r="1028" spans="1:1" x14ac:dyDescent="0.2">
      <c r="A1028" s="49" t="str">
        <f t="shared" ref="A1028:A1091" si="16">IF(AND(B1027&lt;&gt;"",B1028=""),$A$2&amp;"---&gt;","")</f>
        <v/>
      </c>
    </row>
    <row r="1029" spans="1:1" x14ac:dyDescent="0.2">
      <c r="A1029" s="49" t="str">
        <f t="shared" si="16"/>
        <v/>
      </c>
    </row>
    <row r="1030" spans="1:1" x14ac:dyDescent="0.2">
      <c r="A1030" s="49" t="str">
        <f t="shared" si="16"/>
        <v/>
      </c>
    </row>
    <row r="1031" spans="1:1" x14ac:dyDescent="0.2">
      <c r="A1031" s="49" t="str">
        <f t="shared" si="16"/>
        <v/>
      </c>
    </row>
    <row r="1032" spans="1:1" x14ac:dyDescent="0.2">
      <c r="A1032" s="49" t="str">
        <f t="shared" si="16"/>
        <v/>
      </c>
    </row>
    <row r="1033" spans="1:1" x14ac:dyDescent="0.2">
      <c r="A1033" s="49" t="str">
        <f t="shared" si="16"/>
        <v/>
      </c>
    </row>
    <row r="1034" spans="1:1" x14ac:dyDescent="0.2">
      <c r="A1034" s="49" t="str">
        <f t="shared" si="16"/>
        <v/>
      </c>
    </row>
    <row r="1035" spans="1:1" x14ac:dyDescent="0.2">
      <c r="A1035" s="49" t="str">
        <f t="shared" si="16"/>
        <v/>
      </c>
    </row>
    <row r="1036" spans="1:1" x14ac:dyDescent="0.2">
      <c r="A1036" s="49" t="str">
        <f t="shared" si="16"/>
        <v/>
      </c>
    </row>
    <row r="1037" spans="1:1" x14ac:dyDescent="0.2">
      <c r="A1037" s="49" t="str">
        <f t="shared" si="16"/>
        <v/>
      </c>
    </row>
    <row r="1038" spans="1:1" x14ac:dyDescent="0.2">
      <c r="A1038" s="49" t="str">
        <f t="shared" si="16"/>
        <v/>
      </c>
    </row>
    <row r="1039" spans="1:1" x14ac:dyDescent="0.2">
      <c r="A1039" s="49" t="str">
        <f t="shared" si="16"/>
        <v/>
      </c>
    </row>
    <row r="1040" spans="1:1" x14ac:dyDescent="0.2">
      <c r="A1040" s="49" t="str">
        <f t="shared" si="16"/>
        <v/>
      </c>
    </row>
    <row r="1041" spans="1:1" x14ac:dyDescent="0.2">
      <c r="A1041" s="49" t="str">
        <f t="shared" si="16"/>
        <v/>
      </c>
    </row>
    <row r="1042" spans="1:1" x14ac:dyDescent="0.2">
      <c r="A1042" s="49" t="str">
        <f t="shared" si="16"/>
        <v/>
      </c>
    </row>
    <row r="1043" spans="1:1" x14ac:dyDescent="0.2">
      <c r="A1043" s="49" t="str">
        <f t="shared" si="16"/>
        <v/>
      </c>
    </row>
    <row r="1044" spans="1:1" x14ac:dyDescent="0.2">
      <c r="A1044" s="49" t="str">
        <f t="shared" si="16"/>
        <v/>
      </c>
    </row>
    <row r="1045" spans="1:1" x14ac:dyDescent="0.2">
      <c r="A1045" s="49" t="str">
        <f t="shared" si="16"/>
        <v/>
      </c>
    </row>
    <row r="1046" spans="1:1" x14ac:dyDescent="0.2">
      <c r="A1046" s="49" t="str">
        <f t="shared" si="16"/>
        <v/>
      </c>
    </row>
    <row r="1047" spans="1:1" x14ac:dyDescent="0.2">
      <c r="A1047" s="49" t="str">
        <f t="shared" si="16"/>
        <v/>
      </c>
    </row>
    <row r="1048" spans="1:1" x14ac:dyDescent="0.2">
      <c r="A1048" s="49" t="str">
        <f t="shared" si="16"/>
        <v/>
      </c>
    </row>
    <row r="1049" spans="1:1" x14ac:dyDescent="0.2">
      <c r="A1049" s="49" t="str">
        <f t="shared" si="16"/>
        <v/>
      </c>
    </row>
    <row r="1050" spans="1:1" x14ac:dyDescent="0.2">
      <c r="A1050" s="49" t="str">
        <f t="shared" si="16"/>
        <v/>
      </c>
    </row>
    <row r="1051" spans="1:1" x14ac:dyDescent="0.2">
      <c r="A1051" s="49" t="str">
        <f t="shared" si="16"/>
        <v/>
      </c>
    </row>
    <row r="1052" spans="1:1" x14ac:dyDescent="0.2">
      <c r="A1052" s="49" t="str">
        <f t="shared" si="16"/>
        <v/>
      </c>
    </row>
    <row r="1053" spans="1:1" x14ac:dyDescent="0.2">
      <c r="A1053" s="49" t="str">
        <f t="shared" si="16"/>
        <v/>
      </c>
    </row>
    <row r="1054" spans="1:1" x14ac:dyDescent="0.2">
      <c r="A1054" s="49" t="str">
        <f t="shared" si="16"/>
        <v/>
      </c>
    </row>
    <row r="1055" spans="1:1" x14ac:dyDescent="0.2">
      <c r="A1055" s="49" t="str">
        <f t="shared" si="16"/>
        <v/>
      </c>
    </row>
    <row r="1056" spans="1:1" x14ac:dyDescent="0.2">
      <c r="A1056" s="49" t="str">
        <f t="shared" si="16"/>
        <v/>
      </c>
    </row>
    <row r="1057" spans="1:1" x14ac:dyDescent="0.2">
      <c r="A1057" s="49" t="str">
        <f t="shared" si="16"/>
        <v/>
      </c>
    </row>
    <row r="1058" spans="1:1" x14ac:dyDescent="0.2">
      <c r="A1058" s="49" t="str">
        <f t="shared" si="16"/>
        <v/>
      </c>
    </row>
    <row r="1059" spans="1:1" x14ac:dyDescent="0.2">
      <c r="A1059" s="49" t="str">
        <f t="shared" si="16"/>
        <v/>
      </c>
    </row>
    <row r="1060" spans="1:1" x14ac:dyDescent="0.2">
      <c r="A1060" s="49" t="str">
        <f t="shared" si="16"/>
        <v/>
      </c>
    </row>
    <row r="1061" spans="1:1" x14ac:dyDescent="0.2">
      <c r="A1061" s="49" t="str">
        <f t="shared" si="16"/>
        <v/>
      </c>
    </row>
    <row r="1062" spans="1:1" x14ac:dyDescent="0.2">
      <c r="A1062" s="49" t="str">
        <f t="shared" si="16"/>
        <v/>
      </c>
    </row>
    <row r="1063" spans="1:1" x14ac:dyDescent="0.2">
      <c r="A1063" s="49" t="str">
        <f t="shared" si="16"/>
        <v/>
      </c>
    </row>
    <row r="1064" spans="1:1" x14ac:dyDescent="0.2">
      <c r="A1064" s="49" t="str">
        <f t="shared" si="16"/>
        <v/>
      </c>
    </row>
    <row r="1065" spans="1:1" x14ac:dyDescent="0.2">
      <c r="A1065" s="49" t="str">
        <f t="shared" si="16"/>
        <v/>
      </c>
    </row>
    <row r="1066" spans="1:1" x14ac:dyDescent="0.2">
      <c r="A1066" s="49" t="str">
        <f t="shared" si="16"/>
        <v/>
      </c>
    </row>
    <row r="1067" spans="1:1" x14ac:dyDescent="0.2">
      <c r="A1067" s="49" t="str">
        <f t="shared" si="16"/>
        <v/>
      </c>
    </row>
    <row r="1068" spans="1:1" x14ac:dyDescent="0.2">
      <c r="A1068" s="49" t="str">
        <f t="shared" si="16"/>
        <v/>
      </c>
    </row>
    <row r="1069" spans="1:1" x14ac:dyDescent="0.2">
      <c r="A1069" s="49" t="str">
        <f t="shared" si="16"/>
        <v/>
      </c>
    </row>
    <row r="1070" spans="1:1" x14ac:dyDescent="0.2">
      <c r="A1070" s="49" t="str">
        <f t="shared" si="16"/>
        <v/>
      </c>
    </row>
    <row r="1071" spans="1:1" x14ac:dyDescent="0.2">
      <c r="A1071" s="49" t="str">
        <f t="shared" si="16"/>
        <v/>
      </c>
    </row>
    <row r="1072" spans="1:1" x14ac:dyDescent="0.2">
      <c r="A1072" s="49" t="str">
        <f t="shared" si="16"/>
        <v/>
      </c>
    </row>
    <row r="1073" spans="1:1" x14ac:dyDescent="0.2">
      <c r="A1073" s="49" t="str">
        <f t="shared" si="16"/>
        <v/>
      </c>
    </row>
    <row r="1074" spans="1:1" x14ac:dyDescent="0.2">
      <c r="A1074" s="49" t="str">
        <f t="shared" si="16"/>
        <v/>
      </c>
    </row>
    <row r="1075" spans="1:1" x14ac:dyDescent="0.2">
      <c r="A1075" s="49" t="str">
        <f t="shared" si="16"/>
        <v/>
      </c>
    </row>
    <row r="1076" spans="1:1" x14ac:dyDescent="0.2">
      <c r="A1076" s="49" t="str">
        <f t="shared" si="16"/>
        <v/>
      </c>
    </row>
    <row r="1077" spans="1:1" x14ac:dyDescent="0.2">
      <c r="A1077" s="49" t="str">
        <f t="shared" si="16"/>
        <v/>
      </c>
    </row>
    <row r="1078" spans="1:1" x14ac:dyDescent="0.2">
      <c r="A1078" s="49" t="str">
        <f t="shared" si="16"/>
        <v/>
      </c>
    </row>
    <row r="1079" spans="1:1" x14ac:dyDescent="0.2">
      <c r="A1079" s="49" t="str">
        <f t="shared" si="16"/>
        <v/>
      </c>
    </row>
    <row r="1080" spans="1:1" x14ac:dyDescent="0.2">
      <c r="A1080" s="49" t="str">
        <f t="shared" si="16"/>
        <v/>
      </c>
    </row>
    <row r="1081" spans="1:1" x14ac:dyDescent="0.2">
      <c r="A1081" s="49" t="str">
        <f t="shared" si="16"/>
        <v/>
      </c>
    </row>
    <row r="1082" spans="1:1" x14ac:dyDescent="0.2">
      <c r="A1082" s="49" t="str">
        <f t="shared" si="16"/>
        <v/>
      </c>
    </row>
    <row r="1083" spans="1:1" x14ac:dyDescent="0.2">
      <c r="A1083" s="49" t="str">
        <f t="shared" si="16"/>
        <v/>
      </c>
    </row>
    <row r="1084" spans="1:1" x14ac:dyDescent="0.2">
      <c r="A1084" s="49" t="str">
        <f t="shared" si="16"/>
        <v/>
      </c>
    </row>
    <row r="1085" spans="1:1" x14ac:dyDescent="0.2">
      <c r="A1085" s="49" t="str">
        <f t="shared" si="16"/>
        <v/>
      </c>
    </row>
    <row r="1086" spans="1:1" x14ac:dyDescent="0.2">
      <c r="A1086" s="49" t="str">
        <f t="shared" si="16"/>
        <v/>
      </c>
    </row>
    <row r="1087" spans="1:1" x14ac:dyDescent="0.2">
      <c r="A1087" s="49" t="str">
        <f t="shared" si="16"/>
        <v/>
      </c>
    </row>
    <row r="1088" spans="1:1" x14ac:dyDescent="0.2">
      <c r="A1088" s="49" t="str">
        <f t="shared" si="16"/>
        <v/>
      </c>
    </row>
    <row r="1089" spans="1:1" x14ac:dyDescent="0.2">
      <c r="A1089" s="49" t="str">
        <f t="shared" si="16"/>
        <v/>
      </c>
    </row>
    <row r="1090" spans="1:1" x14ac:dyDescent="0.2">
      <c r="A1090" s="49" t="str">
        <f t="shared" si="16"/>
        <v/>
      </c>
    </row>
    <row r="1091" spans="1:1" x14ac:dyDescent="0.2">
      <c r="A1091" s="49" t="str">
        <f t="shared" si="16"/>
        <v/>
      </c>
    </row>
    <row r="1092" spans="1:1" x14ac:dyDescent="0.2">
      <c r="A1092" s="49" t="str">
        <f t="shared" ref="A1092:A1155" si="17">IF(AND(B1091&lt;&gt;"",B1092=""),$A$2&amp;"---&gt;","")</f>
        <v/>
      </c>
    </row>
    <row r="1093" spans="1:1" x14ac:dyDescent="0.2">
      <c r="A1093" s="49" t="str">
        <f t="shared" si="17"/>
        <v/>
      </c>
    </row>
    <row r="1094" spans="1:1" x14ac:dyDescent="0.2">
      <c r="A1094" s="49" t="str">
        <f t="shared" si="17"/>
        <v/>
      </c>
    </row>
    <row r="1095" spans="1:1" x14ac:dyDescent="0.2">
      <c r="A1095" s="49" t="str">
        <f t="shared" si="17"/>
        <v/>
      </c>
    </row>
    <row r="1096" spans="1:1" x14ac:dyDescent="0.2">
      <c r="A1096" s="49" t="str">
        <f t="shared" si="17"/>
        <v/>
      </c>
    </row>
    <row r="1097" spans="1:1" x14ac:dyDescent="0.2">
      <c r="A1097" s="49" t="str">
        <f t="shared" si="17"/>
        <v/>
      </c>
    </row>
    <row r="1098" spans="1:1" x14ac:dyDescent="0.2">
      <c r="A1098" s="49" t="str">
        <f t="shared" si="17"/>
        <v/>
      </c>
    </row>
    <row r="1099" spans="1:1" x14ac:dyDescent="0.2">
      <c r="A1099" s="49" t="str">
        <f t="shared" si="17"/>
        <v/>
      </c>
    </row>
    <row r="1100" spans="1:1" x14ac:dyDescent="0.2">
      <c r="A1100" s="49" t="str">
        <f t="shared" si="17"/>
        <v/>
      </c>
    </row>
    <row r="1101" spans="1:1" x14ac:dyDescent="0.2">
      <c r="A1101" s="49" t="str">
        <f t="shared" si="17"/>
        <v/>
      </c>
    </row>
    <row r="1102" spans="1:1" x14ac:dyDescent="0.2">
      <c r="A1102" s="49" t="str">
        <f t="shared" si="17"/>
        <v/>
      </c>
    </row>
    <row r="1103" spans="1:1" x14ac:dyDescent="0.2">
      <c r="A1103" s="49" t="str">
        <f t="shared" si="17"/>
        <v/>
      </c>
    </row>
    <row r="1104" spans="1:1" x14ac:dyDescent="0.2">
      <c r="A1104" s="49" t="str">
        <f t="shared" si="17"/>
        <v/>
      </c>
    </row>
    <row r="1105" spans="1:1" x14ac:dyDescent="0.2">
      <c r="A1105" s="49" t="str">
        <f t="shared" si="17"/>
        <v/>
      </c>
    </row>
    <row r="1106" spans="1:1" x14ac:dyDescent="0.2">
      <c r="A1106" s="49" t="str">
        <f t="shared" si="17"/>
        <v/>
      </c>
    </row>
    <row r="1107" spans="1:1" x14ac:dyDescent="0.2">
      <c r="A1107" s="49" t="str">
        <f t="shared" si="17"/>
        <v/>
      </c>
    </row>
    <row r="1108" spans="1:1" x14ac:dyDescent="0.2">
      <c r="A1108" s="49" t="str">
        <f t="shared" si="17"/>
        <v/>
      </c>
    </row>
    <row r="1109" spans="1:1" x14ac:dyDescent="0.2">
      <c r="A1109" s="49" t="str">
        <f t="shared" si="17"/>
        <v/>
      </c>
    </row>
    <row r="1110" spans="1:1" x14ac:dyDescent="0.2">
      <c r="A1110" s="49" t="str">
        <f t="shared" si="17"/>
        <v/>
      </c>
    </row>
    <row r="1111" spans="1:1" x14ac:dyDescent="0.2">
      <c r="A1111" s="49" t="str">
        <f t="shared" si="17"/>
        <v/>
      </c>
    </row>
    <row r="1112" spans="1:1" x14ac:dyDescent="0.2">
      <c r="A1112" s="49" t="str">
        <f t="shared" si="17"/>
        <v/>
      </c>
    </row>
    <row r="1113" spans="1:1" x14ac:dyDescent="0.2">
      <c r="A1113" s="49" t="str">
        <f t="shared" si="17"/>
        <v/>
      </c>
    </row>
    <row r="1114" spans="1:1" x14ac:dyDescent="0.2">
      <c r="A1114" s="49" t="str">
        <f t="shared" si="17"/>
        <v/>
      </c>
    </row>
    <row r="1115" spans="1:1" x14ac:dyDescent="0.2">
      <c r="A1115" s="49" t="str">
        <f t="shared" si="17"/>
        <v/>
      </c>
    </row>
    <row r="1116" spans="1:1" x14ac:dyDescent="0.2">
      <c r="A1116" s="49" t="str">
        <f t="shared" si="17"/>
        <v/>
      </c>
    </row>
    <row r="1117" spans="1:1" x14ac:dyDescent="0.2">
      <c r="A1117" s="49" t="str">
        <f t="shared" si="17"/>
        <v/>
      </c>
    </row>
    <row r="1118" spans="1:1" x14ac:dyDescent="0.2">
      <c r="A1118" s="49" t="str">
        <f t="shared" si="17"/>
        <v/>
      </c>
    </row>
    <row r="1119" spans="1:1" x14ac:dyDescent="0.2">
      <c r="A1119" s="49" t="str">
        <f t="shared" si="17"/>
        <v/>
      </c>
    </row>
    <row r="1120" spans="1:1" x14ac:dyDescent="0.2">
      <c r="A1120" s="49" t="str">
        <f t="shared" si="17"/>
        <v/>
      </c>
    </row>
    <row r="1121" spans="1:1" x14ac:dyDescent="0.2">
      <c r="A1121" s="49" t="str">
        <f t="shared" si="17"/>
        <v/>
      </c>
    </row>
    <row r="1122" spans="1:1" x14ac:dyDescent="0.2">
      <c r="A1122" s="49" t="str">
        <f t="shared" si="17"/>
        <v/>
      </c>
    </row>
    <row r="1123" spans="1:1" x14ac:dyDescent="0.2">
      <c r="A1123" s="49" t="str">
        <f t="shared" si="17"/>
        <v/>
      </c>
    </row>
    <row r="1124" spans="1:1" x14ac:dyDescent="0.2">
      <c r="A1124" s="49" t="str">
        <f t="shared" si="17"/>
        <v/>
      </c>
    </row>
    <row r="1125" spans="1:1" x14ac:dyDescent="0.2">
      <c r="A1125" s="49" t="str">
        <f t="shared" si="17"/>
        <v/>
      </c>
    </row>
    <row r="1126" spans="1:1" x14ac:dyDescent="0.2">
      <c r="A1126" s="49" t="str">
        <f t="shared" si="17"/>
        <v/>
      </c>
    </row>
    <row r="1127" spans="1:1" x14ac:dyDescent="0.2">
      <c r="A1127" s="49" t="str">
        <f t="shared" si="17"/>
        <v/>
      </c>
    </row>
    <row r="1128" spans="1:1" x14ac:dyDescent="0.2">
      <c r="A1128" s="49" t="str">
        <f t="shared" si="17"/>
        <v/>
      </c>
    </row>
    <row r="1129" spans="1:1" x14ac:dyDescent="0.2">
      <c r="A1129" s="49" t="str">
        <f t="shared" si="17"/>
        <v/>
      </c>
    </row>
    <row r="1130" spans="1:1" x14ac:dyDescent="0.2">
      <c r="A1130" s="49" t="str">
        <f t="shared" si="17"/>
        <v/>
      </c>
    </row>
    <row r="1131" spans="1:1" x14ac:dyDescent="0.2">
      <c r="A1131" s="49" t="str">
        <f t="shared" si="17"/>
        <v/>
      </c>
    </row>
    <row r="1132" spans="1:1" x14ac:dyDescent="0.2">
      <c r="A1132" s="49" t="str">
        <f t="shared" si="17"/>
        <v/>
      </c>
    </row>
    <row r="1133" spans="1:1" x14ac:dyDescent="0.2">
      <c r="A1133" s="49" t="str">
        <f t="shared" si="17"/>
        <v/>
      </c>
    </row>
    <row r="1134" spans="1:1" x14ac:dyDescent="0.2">
      <c r="A1134" s="49" t="str">
        <f t="shared" si="17"/>
        <v/>
      </c>
    </row>
    <row r="1135" spans="1:1" x14ac:dyDescent="0.2">
      <c r="A1135" s="49" t="str">
        <f t="shared" si="17"/>
        <v/>
      </c>
    </row>
    <row r="1136" spans="1:1" x14ac:dyDescent="0.2">
      <c r="A1136" s="49" t="str">
        <f t="shared" si="17"/>
        <v/>
      </c>
    </row>
    <row r="1137" spans="1:1" x14ac:dyDescent="0.2">
      <c r="A1137" s="49" t="str">
        <f t="shared" si="17"/>
        <v/>
      </c>
    </row>
    <row r="1138" spans="1:1" x14ac:dyDescent="0.2">
      <c r="A1138" s="49" t="str">
        <f t="shared" si="17"/>
        <v/>
      </c>
    </row>
    <row r="1139" spans="1:1" x14ac:dyDescent="0.2">
      <c r="A1139" s="49" t="str">
        <f t="shared" si="17"/>
        <v/>
      </c>
    </row>
    <row r="1140" spans="1:1" x14ac:dyDescent="0.2">
      <c r="A1140" s="49" t="str">
        <f t="shared" si="17"/>
        <v/>
      </c>
    </row>
    <row r="1141" spans="1:1" x14ac:dyDescent="0.2">
      <c r="A1141" s="49" t="str">
        <f t="shared" si="17"/>
        <v/>
      </c>
    </row>
    <row r="1142" spans="1:1" x14ac:dyDescent="0.2">
      <c r="A1142" s="49" t="str">
        <f t="shared" si="17"/>
        <v/>
      </c>
    </row>
    <row r="1143" spans="1:1" x14ac:dyDescent="0.2">
      <c r="A1143" s="49" t="str">
        <f t="shared" si="17"/>
        <v/>
      </c>
    </row>
    <row r="1144" spans="1:1" x14ac:dyDescent="0.2">
      <c r="A1144" s="49" t="str">
        <f t="shared" si="17"/>
        <v/>
      </c>
    </row>
    <row r="1145" spans="1:1" x14ac:dyDescent="0.2">
      <c r="A1145" s="49" t="str">
        <f t="shared" si="17"/>
        <v/>
      </c>
    </row>
    <row r="1146" spans="1:1" x14ac:dyDescent="0.2">
      <c r="A1146" s="49" t="str">
        <f t="shared" si="17"/>
        <v/>
      </c>
    </row>
    <row r="1147" spans="1:1" x14ac:dyDescent="0.2">
      <c r="A1147" s="49" t="str">
        <f t="shared" si="17"/>
        <v/>
      </c>
    </row>
    <row r="1148" spans="1:1" x14ac:dyDescent="0.2">
      <c r="A1148" s="49" t="str">
        <f t="shared" si="17"/>
        <v/>
      </c>
    </row>
    <row r="1149" spans="1:1" x14ac:dyDescent="0.2">
      <c r="A1149" s="49" t="str">
        <f t="shared" si="17"/>
        <v/>
      </c>
    </row>
    <row r="1150" spans="1:1" x14ac:dyDescent="0.2">
      <c r="A1150" s="49" t="str">
        <f t="shared" si="17"/>
        <v/>
      </c>
    </row>
    <row r="1151" spans="1:1" x14ac:dyDescent="0.2">
      <c r="A1151" s="49" t="str">
        <f t="shared" si="17"/>
        <v/>
      </c>
    </row>
    <row r="1152" spans="1:1" x14ac:dyDescent="0.2">
      <c r="A1152" s="49" t="str">
        <f t="shared" si="17"/>
        <v/>
      </c>
    </row>
    <row r="1153" spans="1:1" x14ac:dyDescent="0.2">
      <c r="A1153" s="49" t="str">
        <f t="shared" si="17"/>
        <v/>
      </c>
    </row>
    <row r="1154" spans="1:1" x14ac:dyDescent="0.2">
      <c r="A1154" s="49" t="str">
        <f t="shared" si="17"/>
        <v/>
      </c>
    </row>
    <row r="1155" spans="1:1" x14ac:dyDescent="0.2">
      <c r="A1155" s="49" t="str">
        <f t="shared" si="17"/>
        <v/>
      </c>
    </row>
    <row r="1156" spans="1:1" x14ac:dyDescent="0.2">
      <c r="A1156" s="49" t="str">
        <f t="shared" ref="A1156:A1219" si="18">IF(AND(B1155&lt;&gt;"",B1156=""),$A$2&amp;"---&gt;","")</f>
        <v/>
      </c>
    </row>
    <row r="1157" spans="1:1" x14ac:dyDescent="0.2">
      <c r="A1157" s="49" t="str">
        <f t="shared" si="18"/>
        <v/>
      </c>
    </row>
    <row r="1158" spans="1:1" x14ac:dyDescent="0.2">
      <c r="A1158" s="49" t="str">
        <f t="shared" si="18"/>
        <v/>
      </c>
    </row>
    <row r="1159" spans="1:1" x14ac:dyDescent="0.2">
      <c r="A1159" s="49" t="str">
        <f t="shared" si="18"/>
        <v/>
      </c>
    </row>
    <row r="1160" spans="1:1" x14ac:dyDescent="0.2">
      <c r="A1160" s="49" t="str">
        <f t="shared" si="18"/>
        <v/>
      </c>
    </row>
    <row r="1161" spans="1:1" x14ac:dyDescent="0.2">
      <c r="A1161" s="49" t="str">
        <f t="shared" si="18"/>
        <v/>
      </c>
    </row>
    <row r="1162" spans="1:1" x14ac:dyDescent="0.2">
      <c r="A1162" s="49" t="str">
        <f t="shared" si="18"/>
        <v/>
      </c>
    </row>
    <row r="1163" spans="1:1" x14ac:dyDescent="0.2">
      <c r="A1163" s="49" t="str">
        <f t="shared" si="18"/>
        <v/>
      </c>
    </row>
    <row r="1164" spans="1:1" x14ac:dyDescent="0.2">
      <c r="A1164" s="49" t="str">
        <f t="shared" si="18"/>
        <v/>
      </c>
    </row>
    <row r="1165" spans="1:1" x14ac:dyDescent="0.2">
      <c r="A1165" s="49" t="str">
        <f t="shared" si="18"/>
        <v/>
      </c>
    </row>
    <row r="1166" spans="1:1" x14ac:dyDescent="0.2">
      <c r="A1166" s="49" t="str">
        <f t="shared" si="18"/>
        <v/>
      </c>
    </row>
    <row r="1167" spans="1:1" x14ac:dyDescent="0.2">
      <c r="A1167" s="49" t="str">
        <f t="shared" si="18"/>
        <v/>
      </c>
    </row>
    <row r="1168" spans="1:1" x14ac:dyDescent="0.2">
      <c r="A1168" s="49" t="str">
        <f t="shared" si="18"/>
        <v/>
      </c>
    </row>
    <row r="1169" spans="1:1" x14ac:dyDescent="0.2">
      <c r="A1169" s="49" t="str">
        <f t="shared" si="18"/>
        <v/>
      </c>
    </row>
    <row r="1170" spans="1:1" x14ac:dyDescent="0.2">
      <c r="A1170" s="49" t="str">
        <f t="shared" si="18"/>
        <v/>
      </c>
    </row>
    <row r="1171" spans="1:1" x14ac:dyDescent="0.2">
      <c r="A1171" s="49" t="str">
        <f t="shared" si="18"/>
        <v/>
      </c>
    </row>
    <row r="1172" spans="1:1" x14ac:dyDescent="0.2">
      <c r="A1172" s="49" t="str">
        <f t="shared" si="18"/>
        <v/>
      </c>
    </row>
    <row r="1173" spans="1:1" x14ac:dyDescent="0.2">
      <c r="A1173" s="49" t="str">
        <f t="shared" si="18"/>
        <v/>
      </c>
    </row>
    <row r="1174" spans="1:1" x14ac:dyDescent="0.2">
      <c r="A1174" s="49" t="str">
        <f t="shared" si="18"/>
        <v/>
      </c>
    </row>
    <row r="1175" spans="1:1" x14ac:dyDescent="0.2">
      <c r="A1175" s="49" t="str">
        <f t="shared" si="18"/>
        <v/>
      </c>
    </row>
    <row r="1176" spans="1:1" x14ac:dyDescent="0.2">
      <c r="A1176" s="49" t="str">
        <f t="shared" si="18"/>
        <v/>
      </c>
    </row>
    <row r="1177" spans="1:1" x14ac:dyDescent="0.2">
      <c r="A1177" s="49" t="str">
        <f t="shared" si="18"/>
        <v/>
      </c>
    </row>
    <row r="1178" spans="1:1" x14ac:dyDescent="0.2">
      <c r="A1178" s="49" t="str">
        <f t="shared" si="18"/>
        <v/>
      </c>
    </row>
    <row r="1179" spans="1:1" x14ac:dyDescent="0.2">
      <c r="A1179" s="49" t="str">
        <f t="shared" si="18"/>
        <v/>
      </c>
    </row>
    <row r="1180" spans="1:1" x14ac:dyDescent="0.2">
      <c r="A1180" s="49" t="str">
        <f t="shared" si="18"/>
        <v/>
      </c>
    </row>
    <row r="1181" spans="1:1" x14ac:dyDescent="0.2">
      <c r="A1181" s="49" t="str">
        <f t="shared" si="18"/>
        <v/>
      </c>
    </row>
    <row r="1182" spans="1:1" x14ac:dyDescent="0.2">
      <c r="A1182" s="49" t="str">
        <f t="shared" si="18"/>
        <v/>
      </c>
    </row>
    <row r="1183" spans="1:1" x14ac:dyDescent="0.2">
      <c r="A1183" s="49" t="str">
        <f t="shared" si="18"/>
        <v/>
      </c>
    </row>
    <row r="1184" spans="1:1" x14ac:dyDescent="0.2">
      <c r="A1184" s="49" t="str">
        <f t="shared" si="18"/>
        <v/>
      </c>
    </row>
    <row r="1185" spans="1:1" x14ac:dyDescent="0.2">
      <c r="A1185" s="49" t="str">
        <f t="shared" si="18"/>
        <v/>
      </c>
    </row>
    <row r="1186" spans="1:1" x14ac:dyDescent="0.2">
      <c r="A1186" s="49" t="str">
        <f t="shared" si="18"/>
        <v/>
      </c>
    </row>
    <row r="1187" spans="1:1" x14ac:dyDescent="0.2">
      <c r="A1187" s="49" t="str">
        <f t="shared" si="18"/>
        <v/>
      </c>
    </row>
    <row r="1188" spans="1:1" x14ac:dyDescent="0.2">
      <c r="A1188" s="49" t="str">
        <f t="shared" si="18"/>
        <v/>
      </c>
    </row>
    <row r="1189" spans="1:1" x14ac:dyDescent="0.2">
      <c r="A1189" s="49" t="str">
        <f t="shared" si="18"/>
        <v/>
      </c>
    </row>
    <row r="1190" spans="1:1" x14ac:dyDescent="0.2">
      <c r="A1190" s="49" t="str">
        <f t="shared" si="18"/>
        <v/>
      </c>
    </row>
    <row r="1191" spans="1:1" x14ac:dyDescent="0.2">
      <c r="A1191" s="49" t="str">
        <f t="shared" si="18"/>
        <v/>
      </c>
    </row>
    <row r="1192" spans="1:1" x14ac:dyDescent="0.2">
      <c r="A1192" s="49" t="str">
        <f t="shared" si="18"/>
        <v/>
      </c>
    </row>
    <row r="1193" spans="1:1" x14ac:dyDescent="0.2">
      <c r="A1193" s="49" t="str">
        <f t="shared" si="18"/>
        <v/>
      </c>
    </row>
    <row r="1194" spans="1:1" x14ac:dyDescent="0.2">
      <c r="A1194" s="49" t="str">
        <f t="shared" si="18"/>
        <v/>
      </c>
    </row>
    <row r="1195" spans="1:1" x14ac:dyDescent="0.2">
      <c r="A1195" s="49" t="str">
        <f t="shared" si="18"/>
        <v/>
      </c>
    </row>
    <row r="1196" spans="1:1" x14ac:dyDescent="0.2">
      <c r="A1196" s="49" t="str">
        <f t="shared" si="18"/>
        <v/>
      </c>
    </row>
    <row r="1197" spans="1:1" x14ac:dyDescent="0.2">
      <c r="A1197" s="49" t="str">
        <f t="shared" si="18"/>
        <v/>
      </c>
    </row>
    <row r="1198" spans="1:1" x14ac:dyDescent="0.2">
      <c r="A1198" s="49" t="str">
        <f t="shared" si="18"/>
        <v/>
      </c>
    </row>
    <row r="1199" spans="1:1" x14ac:dyDescent="0.2">
      <c r="A1199" s="49" t="str">
        <f t="shared" si="18"/>
        <v/>
      </c>
    </row>
    <row r="1200" spans="1:1" x14ac:dyDescent="0.2">
      <c r="A1200" s="49" t="str">
        <f t="shared" si="18"/>
        <v/>
      </c>
    </row>
    <row r="1201" spans="1:1" x14ac:dyDescent="0.2">
      <c r="A1201" s="49" t="str">
        <f t="shared" si="18"/>
        <v/>
      </c>
    </row>
    <row r="1202" spans="1:1" x14ac:dyDescent="0.2">
      <c r="A1202" s="49" t="str">
        <f t="shared" si="18"/>
        <v/>
      </c>
    </row>
    <row r="1203" spans="1:1" x14ac:dyDescent="0.2">
      <c r="A1203" s="49" t="str">
        <f t="shared" si="18"/>
        <v/>
      </c>
    </row>
    <row r="1204" spans="1:1" x14ac:dyDescent="0.2">
      <c r="A1204" s="49" t="str">
        <f t="shared" si="18"/>
        <v/>
      </c>
    </row>
    <row r="1205" spans="1:1" x14ac:dyDescent="0.2">
      <c r="A1205" s="49" t="str">
        <f t="shared" si="18"/>
        <v/>
      </c>
    </row>
    <row r="1206" spans="1:1" x14ac:dyDescent="0.2">
      <c r="A1206" s="49" t="str">
        <f t="shared" si="18"/>
        <v/>
      </c>
    </row>
    <row r="1207" spans="1:1" x14ac:dyDescent="0.2">
      <c r="A1207" s="49" t="str">
        <f t="shared" si="18"/>
        <v/>
      </c>
    </row>
    <row r="1208" spans="1:1" x14ac:dyDescent="0.2">
      <c r="A1208" s="49" t="str">
        <f t="shared" si="18"/>
        <v/>
      </c>
    </row>
    <row r="1209" spans="1:1" x14ac:dyDescent="0.2">
      <c r="A1209" s="49" t="str">
        <f t="shared" si="18"/>
        <v/>
      </c>
    </row>
    <row r="1210" spans="1:1" x14ac:dyDescent="0.2">
      <c r="A1210" s="49" t="str">
        <f t="shared" si="18"/>
        <v/>
      </c>
    </row>
    <row r="1211" spans="1:1" x14ac:dyDescent="0.2">
      <c r="A1211" s="49" t="str">
        <f t="shared" si="18"/>
        <v/>
      </c>
    </row>
    <row r="1212" spans="1:1" x14ac:dyDescent="0.2">
      <c r="A1212" s="49" t="str">
        <f t="shared" si="18"/>
        <v/>
      </c>
    </row>
    <row r="1213" spans="1:1" x14ac:dyDescent="0.2">
      <c r="A1213" s="49" t="str">
        <f t="shared" si="18"/>
        <v/>
      </c>
    </row>
    <row r="1214" spans="1:1" x14ac:dyDescent="0.2">
      <c r="A1214" s="49" t="str">
        <f t="shared" si="18"/>
        <v/>
      </c>
    </row>
    <row r="1215" spans="1:1" x14ac:dyDescent="0.2">
      <c r="A1215" s="49" t="str">
        <f t="shared" si="18"/>
        <v/>
      </c>
    </row>
    <row r="1216" spans="1:1" x14ac:dyDescent="0.2">
      <c r="A1216" s="49" t="str">
        <f t="shared" si="18"/>
        <v/>
      </c>
    </row>
    <row r="1217" spans="1:1" x14ac:dyDescent="0.2">
      <c r="A1217" s="49" t="str">
        <f t="shared" si="18"/>
        <v/>
      </c>
    </row>
    <row r="1218" spans="1:1" x14ac:dyDescent="0.2">
      <c r="A1218" s="49" t="str">
        <f t="shared" si="18"/>
        <v/>
      </c>
    </row>
    <row r="1219" spans="1:1" x14ac:dyDescent="0.2">
      <c r="A1219" s="49" t="str">
        <f t="shared" si="18"/>
        <v/>
      </c>
    </row>
    <row r="1220" spans="1:1" x14ac:dyDescent="0.2">
      <c r="A1220" s="49" t="str">
        <f t="shared" ref="A1220:A1283" si="19">IF(AND(B1219&lt;&gt;"",B1220=""),$A$2&amp;"---&gt;","")</f>
        <v/>
      </c>
    </row>
    <row r="1221" spans="1:1" x14ac:dyDescent="0.2">
      <c r="A1221" s="49" t="str">
        <f t="shared" si="19"/>
        <v/>
      </c>
    </row>
    <row r="1222" spans="1:1" x14ac:dyDescent="0.2">
      <c r="A1222" s="49" t="str">
        <f t="shared" si="19"/>
        <v/>
      </c>
    </row>
    <row r="1223" spans="1:1" x14ac:dyDescent="0.2">
      <c r="A1223" s="49" t="str">
        <f t="shared" si="19"/>
        <v/>
      </c>
    </row>
    <row r="1224" spans="1:1" x14ac:dyDescent="0.2">
      <c r="A1224" s="49" t="str">
        <f t="shared" si="19"/>
        <v/>
      </c>
    </row>
    <row r="1225" spans="1:1" x14ac:dyDescent="0.2">
      <c r="A1225" s="49" t="str">
        <f t="shared" si="19"/>
        <v/>
      </c>
    </row>
    <row r="1226" spans="1:1" x14ac:dyDescent="0.2">
      <c r="A1226" s="49" t="str">
        <f t="shared" si="19"/>
        <v/>
      </c>
    </row>
    <row r="1227" spans="1:1" x14ac:dyDescent="0.2">
      <c r="A1227" s="49" t="str">
        <f t="shared" si="19"/>
        <v/>
      </c>
    </row>
    <row r="1228" spans="1:1" x14ac:dyDescent="0.2">
      <c r="A1228" s="49" t="str">
        <f t="shared" si="19"/>
        <v/>
      </c>
    </row>
    <row r="1229" spans="1:1" x14ac:dyDescent="0.2">
      <c r="A1229" s="49" t="str">
        <f t="shared" si="19"/>
        <v/>
      </c>
    </row>
    <row r="1230" spans="1:1" x14ac:dyDescent="0.2">
      <c r="A1230" s="49" t="str">
        <f t="shared" si="19"/>
        <v/>
      </c>
    </row>
    <row r="1231" spans="1:1" x14ac:dyDescent="0.2">
      <c r="A1231" s="49" t="str">
        <f t="shared" si="19"/>
        <v/>
      </c>
    </row>
    <row r="1232" spans="1:1" x14ac:dyDescent="0.2">
      <c r="A1232" s="49" t="str">
        <f t="shared" si="19"/>
        <v/>
      </c>
    </row>
    <row r="1233" spans="1:1" x14ac:dyDescent="0.2">
      <c r="A1233" s="49" t="str">
        <f t="shared" si="19"/>
        <v/>
      </c>
    </row>
    <row r="1234" spans="1:1" x14ac:dyDescent="0.2">
      <c r="A1234" s="49" t="str">
        <f t="shared" si="19"/>
        <v/>
      </c>
    </row>
    <row r="1235" spans="1:1" x14ac:dyDescent="0.2">
      <c r="A1235" s="49" t="str">
        <f t="shared" si="19"/>
        <v/>
      </c>
    </row>
    <row r="1236" spans="1:1" x14ac:dyDescent="0.2">
      <c r="A1236" s="49" t="str">
        <f t="shared" si="19"/>
        <v/>
      </c>
    </row>
    <row r="1237" spans="1:1" x14ac:dyDescent="0.2">
      <c r="A1237" s="49" t="str">
        <f t="shared" si="19"/>
        <v/>
      </c>
    </row>
    <row r="1238" spans="1:1" x14ac:dyDescent="0.2">
      <c r="A1238" s="49" t="str">
        <f t="shared" si="19"/>
        <v/>
      </c>
    </row>
    <row r="1239" spans="1:1" x14ac:dyDescent="0.2">
      <c r="A1239" s="49" t="str">
        <f t="shared" si="19"/>
        <v/>
      </c>
    </row>
    <row r="1240" spans="1:1" x14ac:dyDescent="0.2">
      <c r="A1240" s="49" t="str">
        <f t="shared" si="19"/>
        <v/>
      </c>
    </row>
    <row r="1241" spans="1:1" x14ac:dyDescent="0.2">
      <c r="A1241" s="49" t="str">
        <f t="shared" si="19"/>
        <v/>
      </c>
    </row>
    <row r="1242" spans="1:1" x14ac:dyDescent="0.2">
      <c r="A1242" s="49" t="str">
        <f t="shared" si="19"/>
        <v/>
      </c>
    </row>
    <row r="1243" spans="1:1" x14ac:dyDescent="0.2">
      <c r="A1243" s="49" t="str">
        <f t="shared" si="19"/>
        <v/>
      </c>
    </row>
    <row r="1244" spans="1:1" x14ac:dyDescent="0.2">
      <c r="A1244" s="49" t="str">
        <f t="shared" si="19"/>
        <v/>
      </c>
    </row>
    <row r="1245" spans="1:1" x14ac:dyDescent="0.2">
      <c r="A1245" s="49" t="str">
        <f t="shared" si="19"/>
        <v/>
      </c>
    </row>
    <row r="1246" spans="1:1" x14ac:dyDescent="0.2">
      <c r="A1246" s="49" t="str">
        <f t="shared" si="19"/>
        <v/>
      </c>
    </row>
    <row r="1247" spans="1:1" x14ac:dyDescent="0.2">
      <c r="A1247" s="49" t="str">
        <f t="shared" si="19"/>
        <v/>
      </c>
    </row>
    <row r="1248" spans="1:1" x14ac:dyDescent="0.2">
      <c r="A1248" s="49" t="str">
        <f t="shared" si="19"/>
        <v/>
      </c>
    </row>
    <row r="1249" spans="1:1" x14ac:dyDescent="0.2">
      <c r="A1249" s="49" t="str">
        <f t="shared" si="19"/>
        <v/>
      </c>
    </row>
    <row r="1250" spans="1:1" x14ac:dyDescent="0.2">
      <c r="A1250" s="49" t="str">
        <f t="shared" si="19"/>
        <v/>
      </c>
    </row>
    <row r="1251" spans="1:1" x14ac:dyDescent="0.2">
      <c r="A1251" s="49" t="str">
        <f t="shared" si="19"/>
        <v/>
      </c>
    </row>
    <row r="1252" spans="1:1" x14ac:dyDescent="0.2">
      <c r="A1252" s="49" t="str">
        <f t="shared" si="19"/>
        <v/>
      </c>
    </row>
    <row r="1253" spans="1:1" x14ac:dyDescent="0.2">
      <c r="A1253" s="49" t="str">
        <f t="shared" si="19"/>
        <v/>
      </c>
    </row>
    <row r="1254" spans="1:1" x14ac:dyDescent="0.2">
      <c r="A1254" s="49" t="str">
        <f t="shared" si="19"/>
        <v/>
      </c>
    </row>
    <row r="1255" spans="1:1" x14ac:dyDescent="0.2">
      <c r="A1255" s="49" t="str">
        <f t="shared" si="19"/>
        <v/>
      </c>
    </row>
    <row r="1256" spans="1:1" x14ac:dyDescent="0.2">
      <c r="A1256" s="49" t="str">
        <f t="shared" si="19"/>
        <v/>
      </c>
    </row>
    <row r="1257" spans="1:1" x14ac:dyDescent="0.2">
      <c r="A1257" s="49" t="str">
        <f t="shared" si="19"/>
        <v/>
      </c>
    </row>
    <row r="1258" spans="1:1" x14ac:dyDescent="0.2">
      <c r="A1258" s="49" t="str">
        <f t="shared" si="19"/>
        <v/>
      </c>
    </row>
    <row r="1259" spans="1:1" x14ac:dyDescent="0.2">
      <c r="A1259" s="49" t="str">
        <f t="shared" si="19"/>
        <v/>
      </c>
    </row>
    <row r="1260" spans="1:1" x14ac:dyDescent="0.2">
      <c r="A1260" s="49" t="str">
        <f t="shared" si="19"/>
        <v/>
      </c>
    </row>
    <row r="1261" spans="1:1" x14ac:dyDescent="0.2">
      <c r="A1261" s="49" t="str">
        <f t="shared" si="19"/>
        <v/>
      </c>
    </row>
    <row r="1262" spans="1:1" x14ac:dyDescent="0.2">
      <c r="A1262" s="49" t="str">
        <f t="shared" si="19"/>
        <v/>
      </c>
    </row>
    <row r="1263" spans="1:1" x14ac:dyDescent="0.2">
      <c r="A1263" s="49" t="str">
        <f t="shared" si="19"/>
        <v/>
      </c>
    </row>
    <row r="1264" spans="1:1" x14ac:dyDescent="0.2">
      <c r="A1264" s="49" t="str">
        <f t="shared" si="19"/>
        <v/>
      </c>
    </row>
    <row r="1265" spans="1:1" x14ac:dyDescent="0.2">
      <c r="A1265" s="49" t="str">
        <f t="shared" si="19"/>
        <v/>
      </c>
    </row>
    <row r="1266" spans="1:1" x14ac:dyDescent="0.2">
      <c r="A1266" s="49" t="str">
        <f t="shared" si="19"/>
        <v/>
      </c>
    </row>
    <row r="1267" spans="1:1" x14ac:dyDescent="0.2">
      <c r="A1267" s="49" t="str">
        <f t="shared" si="19"/>
        <v/>
      </c>
    </row>
    <row r="1268" spans="1:1" x14ac:dyDescent="0.2">
      <c r="A1268" s="49" t="str">
        <f t="shared" si="19"/>
        <v/>
      </c>
    </row>
    <row r="1269" spans="1:1" x14ac:dyDescent="0.2">
      <c r="A1269" s="49" t="str">
        <f t="shared" si="19"/>
        <v/>
      </c>
    </row>
    <row r="1270" spans="1:1" x14ac:dyDescent="0.2">
      <c r="A1270" s="49" t="str">
        <f t="shared" si="19"/>
        <v/>
      </c>
    </row>
    <row r="1271" spans="1:1" x14ac:dyDescent="0.2">
      <c r="A1271" s="49" t="str">
        <f t="shared" si="19"/>
        <v/>
      </c>
    </row>
    <row r="1272" spans="1:1" x14ac:dyDescent="0.2">
      <c r="A1272" s="49" t="str">
        <f t="shared" si="19"/>
        <v/>
      </c>
    </row>
    <row r="1273" spans="1:1" x14ac:dyDescent="0.2">
      <c r="A1273" s="49" t="str">
        <f t="shared" si="19"/>
        <v/>
      </c>
    </row>
    <row r="1274" spans="1:1" x14ac:dyDescent="0.2">
      <c r="A1274" s="49" t="str">
        <f t="shared" si="19"/>
        <v/>
      </c>
    </row>
    <row r="1275" spans="1:1" x14ac:dyDescent="0.2">
      <c r="A1275" s="49" t="str">
        <f t="shared" si="19"/>
        <v/>
      </c>
    </row>
    <row r="1276" spans="1:1" x14ac:dyDescent="0.2">
      <c r="A1276" s="49" t="str">
        <f t="shared" si="19"/>
        <v/>
      </c>
    </row>
    <row r="1277" spans="1:1" x14ac:dyDescent="0.2">
      <c r="A1277" s="49" t="str">
        <f t="shared" si="19"/>
        <v/>
      </c>
    </row>
    <row r="1278" spans="1:1" x14ac:dyDescent="0.2">
      <c r="A1278" s="49" t="str">
        <f t="shared" si="19"/>
        <v/>
      </c>
    </row>
    <row r="1279" spans="1:1" x14ac:dyDescent="0.2">
      <c r="A1279" s="49" t="str">
        <f t="shared" si="19"/>
        <v/>
      </c>
    </row>
    <row r="1280" spans="1:1" x14ac:dyDescent="0.2">
      <c r="A1280" s="49" t="str">
        <f t="shared" si="19"/>
        <v/>
      </c>
    </row>
    <row r="1281" spans="1:1" x14ac:dyDescent="0.2">
      <c r="A1281" s="49" t="str">
        <f t="shared" si="19"/>
        <v/>
      </c>
    </row>
    <row r="1282" spans="1:1" x14ac:dyDescent="0.2">
      <c r="A1282" s="49" t="str">
        <f t="shared" si="19"/>
        <v/>
      </c>
    </row>
    <row r="1283" spans="1:1" x14ac:dyDescent="0.2">
      <c r="A1283" s="49" t="str">
        <f t="shared" si="19"/>
        <v/>
      </c>
    </row>
    <row r="1284" spans="1:1" x14ac:dyDescent="0.2">
      <c r="A1284" s="49" t="str">
        <f t="shared" ref="A1284:A1347" si="20">IF(AND(B1283&lt;&gt;"",B1284=""),$A$2&amp;"---&gt;","")</f>
        <v/>
      </c>
    </row>
    <row r="1285" spans="1:1" x14ac:dyDescent="0.2">
      <c r="A1285" s="49" t="str">
        <f t="shared" si="20"/>
        <v/>
      </c>
    </row>
    <row r="1286" spans="1:1" x14ac:dyDescent="0.2">
      <c r="A1286" s="49" t="str">
        <f t="shared" si="20"/>
        <v/>
      </c>
    </row>
    <row r="1287" spans="1:1" x14ac:dyDescent="0.2">
      <c r="A1287" s="49" t="str">
        <f t="shared" si="20"/>
        <v/>
      </c>
    </row>
    <row r="1288" spans="1:1" x14ac:dyDescent="0.2">
      <c r="A1288" s="49" t="str">
        <f t="shared" si="20"/>
        <v/>
      </c>
    </row>
    <row r="1289" spans="1:1" x14ac:dyDescent="0.2">
      <c r="A1289" s="49" t="str">
        <f t="shared" si="20"/>
        <v/>
      </c>
    </row>
    <row r="1290" spans="1:1" x14ac:dyDescent="0.2">
      <c r="A1290" s="49" t="str">
        <f t="shared" si="20"/>
        <v/>
      </c>
    </row>
    <row r="1291" spans="1:1" x14ac:dyDescent="0.2">
      <c r="A1291" s="49" t="str">
        <f t="shared" si="20"/>
        <v/>
      </c>
    </row>
    <row r="1292" spans="1:1" x14ac:dyDescent="0.2">
      <c r="A1292" s="49" t="str">
        <f t="shared" si="20"/>
        <v/>
      </c>
    </row>
    <row r="1293" spans="1:1" x14ac:dyDescent="0.2">
      <c r="A1293" s="49" t="str">
        <f t="shared" si="20"/>
        <v/>
      </c>
    </row>
    <row r="1294" spans="1:1" x14ac:dyDescent="0.2">
      <c r="A1294" s="49" t="str">
        <f t="shared" si="20"/>
        <v/>
      </c>
    </row>
    <row r="1295" spans="1:1" x14ac:dyDescent="0.2">
      <c r="A1295" s="49" t="str">
        <f t="shared" si="20"/>
        <v/>
      </c>
    </row>
    <row r="1296" spans="1:1" x14ac:dyDescent="0.2">
      <c r="A1296" s="49" t="str">
        <f t="shared" si="20"/>
        <v/>
      </c>
    </row>
    <row r="1297" spans="1:1" x14ac:dyDescent="0.2">
      <c r="A1297" s="49" t="str">
        <f t="shared" si="20"/>
        <v/>
      </c>
    </row>
    <row r="1298" spans="1:1" x14ac:dyDescent="0.2">
      <c r="A1298" s="49" t="str">
        <f t="shared" si="20"/>
        <v/>
      </c>
    </row>
    <row r="1299" spans="1:1" x14ac:dyDescent="0.2">
      <c r="A1299" s="49" t="str">
        <f t="shared" si="20"/>
        <v/>
      </c>
    </row>
    <row r="1300" spans="1:1" x14ac:dyDescent="0.2">
      <c r="A1300" s="49" t="str">
        <f t="shared" si="20"/>
        <v/>
      </c>
    </row>
    <row r="1301" spans="1:1" x14ac:dyDescent="0.2">
      <c r="A1301" s="49" t="str">
        <f t="shared" si="20"/>
        <v/>
      </c>
    </row>
    <row r="1302" spans="1:1" x14ac:dyDescent="0.2">
      <c r="A1302" s="49" t="str">
        <f t="shared" si="20"/>
        <v/>
      </c>
    </row>
    <row r="1303" spans="1:1" x14ac:dyDescent="0.2">
      <c r="A1303" s="49" t="str">
        <f t="shared" si="20"/>
        <v/>
      </c>
    </row>
    <row r="1304" spans="1:1" x14ac:dyDescent="0.2">
      <c r="A1304" s="49" t="str">
        <f t="shared" si="20"/>
        <v/>
      </c>
    </row>
    <row r="1305" spans="1:1" x14ac:dyDescent="0.2">
      <c r="A1305" s="49" t="str">
        <f t="shared" si="20"/>
        <v/>
      </c>
    </row>
    <row r="1306" spans="1:1" x14ac:dyDescent="0.2">
      <c r="A1306" s="49" t="str">
        <f t="shared" si="20"/>
        <v/>
      </c>
    </row>
    <row r="1307" spans="1:1" x14ac:dyDescent="0.2">
      <c r="A1307" s="49" t="str">
        <f t="shared" si="20"/>
        <v/>
      </c>
    </row>
    <row r="1308" spans="1:1" x14ac:dyDescent="0.2">
      <c r="A1308" s="49" t="str">
        <f t="shared" si="20"/>
        <v/>
      </c>
    </row>
    <row r="1309" spans="1:1" x14ac:dyDescent="0.2">
      <c r="A1309" s="49" t="str">
        <f t="shared" si="20"/>
        <v/>
      </c>
    </row>
    <row r="1310" spans="1:1" x14ac:dyDescent="0.2">
      <c r="A1310" s="49" t="str">
        <f t="shared" si="20"/>
        <v/>
      </c>
    </row>
    <row r="1311" spans="1:1" x14ac:dyDescent="0.2">
      <c r="A1311" s="49" t="str">
        <f t="shared" si="20"/>
        <v/>
      </c>
    </row>
    <row r="1312" spans="1:1" x14ac:dyDescent="0.2">
      <c r="A1312" s="49" t="str">
        <f t="shared" si="20"/>
        <v/>
      </c>
    </row>
    <row r="1313" spans="1:1" x14ac:dyDescent="0.2">
      <c r="A1313" s="49" t="str">
        <f t="shared" si="20"/>
        <v/>
      </c>
    </row>
    <row r="1314" spans="1:1" x14ac:dyDescent="0.2">
      <c r="A1314" s="49" t="str">
        <f t="shared" si="20"/>
        <v/>
      </c>
    </row>
    <row r="1315" spans="1:1" x14ac:dyDescent="0.2">
      <c r="A1315" s="49" t="str">
        <f t="shared" si="20"/>
        <v/>
      </c>
    </row>
    <row r="1316" spans="1:1" x14ac:dyDescent="0.2">
      <c r="A1316" s="49" t="str">
        <f t="shared" si="20"/>
        <v/>
      </c>
    </row>
    <row r="1317" spans="1:1" x14ac:dyDescent="0.2">
      <c r="A1317" s="49" t="str">
        <f t="shared" si="20"/>
        <v/>
      </c>
    </row>
    <row r="1318" spans="1:1" x14ac:dyDescent="0.2">
      <c r="A1318" s="49" t="str">
        <f t="shared" si="20"/>
        <v/>
      </c>
    </row>
    <row r="1319" spans="1:1" x14ac:dyDescent="0.2">
      <c r="A1319" s="49" t="str">
        <f t="shared" si="20"/>
        <v/>
      </c>
    </row>
    <row r="1320" spans="1:1" x14ac:dyDescent="0.2">
      <c r="A1320" s="49" t="str">
        <f t="shared" si="20"/>
        <v/>
      </c>
    </row>
    <row r="1321" spans="1:1" x14ac:dyDescent="0.2">
      <c r="A1321" s="49" t="str">
        <f t="shared" si="20"/>
        <v/>
      </c>
    </row>
    <row r="1322" spans="1:1" x14ac:dyDescent="0.2">
      <c r="A1322" s="49" t="str">
        <f t="shared" si="20"/>
        <v/>
      </c>
    </row>
    <row r="1323" spans="1:1" x14ac:dyDescent="0.2">
      <c r="A1323" s="49" t="str">
        <f t="shared" si="20"/>
        <v/>
      </c>
    </row>
    <row r="1324" spans="1:1" x14ac:dyDescent="0.2">
      <c r="A1324" s="49" t="str">
        <f t="shared" si="20"/>
        <v/>
      </c>
    </row>
    <row r="1325" spans="1:1" x14ac:dyDescent="0.2">
      <c r="A1325" s="49" t="str">
        <f t="shared" si="20"/>
        <v/>
      </c>
    </row>
    <row r="1326" spans="1:1" x14ac:dyDescent="0.2">
      <c r="A1326" s="49" t="str">
        <f t="shared" si="20"/>
        <v/>
      </c>
    </row>
    <row r="1327" spans="1:1" x14ac:dyDescent="0.2">
      <c r="A1327" s="49" t="str">
        <f t="shared" si="20"/>
        <v/>
      </c>
    </row>
    <row r="1328" spans="1:1" x14ac:dyDescent="0.2">
      <c r="A1328" s="49" t="str">
        <f t="shared" si="20"/>
        <v/>
      </c>
    </row>
    <row r="1329" spans="1:1" x14ac:dyDescent="0.2">
      <c r="A1329" s="49" t="str">
        <f t="shared" si="20"/>
        <v/>
      </c>
    </row>
    <row r="1330" spans="1:1" x14ac:dyDescent="0.2">
      <c r="A1330" s="49" t="str">
        <f t="shared" si="20"/>
        <v/>
      </c>
    </row>
    <row r="1331" spans="1:1" x14ac:dyDescent="0.2">
      <c r="A1331" s="49" t="str">
        <f t="shared" si="20"/>
        <v/>
      </c>
    </row>
    <row r="1332" spans="1:1" x14ac:dyDescent="0.2">
      <c r="A1332" s="49" t="str">
        <f t="shared" si="20"/>
        <v/>
      </c>
    </row>
    <row r="1333" spans="1:1" x14ac:dyDescent="0.2">
      <c r="A1333" s="49" t="str">
        <f t="shared" si="20"/>
        <v/>
      </c>
    </row>
    <row r="1334" spans="1:1" x14ac:dyDescent="0.2">
      <c r="A1334" s="49" t="str">
        <f t="shared" si="20"/>
        <v/>
      </c>
    </row>
    <row r="1335" spans="1:1" x14ac:dyDescent="0.2">
      <c r="A1335" s="49" t="str">
        <f t="shared" si="20"/>
        <v/>
      </c>
    </row>
    <row r="1336" spans="1:1" x14ac:dyDescent="0.2">
      <c r="A1336" s="49" t="str">
        <f t="shared" si="20"/>
        <v/>
      </c>
    </row>
    <row r="1337" spans="1:1" x14ac:dyDescent="0.2">
      <c r="A1337" s="49" t="str">
        <f t="shared" si="20"/>
        <v/>
      </c>
    </row>
    <row r="1338" spans="1:1" x14ac:dyDescent="0.2">
      <c r="A1338" s="49" t="str">
        <f t="shared" si="20"/>
        <v/>
      </c>
    </row>
    <row r="1339" spans="1:1" x14ac:dyDescent="0.2">
      <c r="A1339" s="49" t="str">
        <f t="shared" si="20"/>
        <v/>
      </c>
    </row>
    <row r="1340" spans="1:1" x14ac:dyDescent="0.2">
      <c r="A1340" s="49" t="str">
        <f t="shared" si="20"/>
        <v/>
      </c>
    </row>
    <row r="1341" spans="1:1" x14ac:dyDescent="0.2">
      <c r="A1341" s="49" t="str">
        <f t="shared" si="20"/>
        <v/>
      </c>
    </row>
    <row r="1342" spans="1:1" x14ac:dyDescent="0.2">
      <c r="A1342" s="49" t="str">
        <f t="shared" si="20"/>
        <v/>
      </c>
    </row>
    <row r="1343" spans="1:1" x14ac:dyDescent="0.2">
      <c r="A1343" s="49" t="str">
        <f t="shared" si="20"/>
        <v/>
      </c>
    </row>
    <row r="1344" spans="1:1" x14ac:dyDescent="0.2">
      <c r="A1344" s="49" t="str">
        <f t="shared" si="20"/>
        <v/>
      </c>
    </row>
    <row r="1345" spans="1:1" x14ac:dyDescent="0.2">
      <c r="A1345" s="49" t="str">
        <f t="shared" si="20"/>
        <v/>
      </c>
    </row>
    <row r="1346" spans="1:1" x14ac:dyDescent="0.2">
      <c r="A1346" s="49" t="str">
        <f t="shared" si="20"/>
        <v/>
      </c>
    </row>
    <row r="1347" spans="1:1" x14ac:dyDescent="0.2">
      <c r="A1347" s="49" t="str">
        <f t="shared" si="20"/>
        <v/>
      </c>
    </row>
    <row r="1348" spans="1:1" x14ac:dyDescent="0.2">
      <c r="A1348" s="49" t="str">
        <f t="shared" ref="A1348:A1411" si="21">IF(AND(B1347&lt;&gt;"",B1348=""),$A$2&amp;"---&gt;","")</f>
        <v/>
      </c>
    </row>
    <row r="1349" spans="1:1" x14ac:dyDescent="0.2">
      <c r="A1349" s="49" t="str">
        <f t="shared" si="21"/>
        <v/>
      </c>
    </row>
    <row r="1350" spans="1:1" x14ac:dyDescent="0.2">
      <c r="A1350" s="49" t="str">
        <f t="shared" si="21"/>
        <v/>
      </c>
    </row>
    <row r="1351" spans="1:1" x14ac:dyDescent="0.2">
      <c r="A1351" s="49" t="str">
        <f t="shared" si="21"/>
        <v/>
      </c>
    </row>
    <row r="1352" spans="1:1" x14ac:dyDescent="0.2">
      <c r="A1352" s="49" t="str">
        <f t="shared" si="21"/>
        <v/>
      </c>
    </row>
    <row r="1353" spans="1:1" x14ac:dyDescent="0.2">
      <c r="A1353" s="49" t="str">
        <f t="shared" si="21"/>
        <v/>
      </c>
    </row>
    <row r="1354" spans="1:1" x14ac:dyDescent="0.2">
      <c r="A1354" s="49" t="str">
        <f t="shared" si="21"/>
        <v/>
      </c>
    </row>
    <row r="1355" spans="1:1" x14ac:dyDescent="0.2">
      <c r="A1355" s="49" t="str">
        <f t="shared" si="21"/>
        <v/>
      </c>
    </row>
    <row r="1356" spans="1:1" x14ac:dyDescent="0.2">
      <c r="A1356" s="49" t="str">
        <f t="shared" si="21"/>
        <v/>
      </c>
    </row>
    <row r="1357" spans="1:1" x14ac:dyDescent="0.2">
      <c r="A1357" s="49" t="str">
        <f t="shared" si="21"/>
        <v/>
      </c>
    </row>
    <row r="1358" spans="1:1" x14ac:dyDescent="0.2">
      <c r="A1358" s="49" t="str">
        <f t="shared" si="21"/>
        <v/>
      </c>
    </row>
    <row r="1359" spans="1:1" x14ac:dyDescent="0.2">
      <c r="A1359" s="49" t="str">
        <f t="shared" si="21"/>
        <v/>
      </c>
    </row>
    <row r="1360" spans="1:1" x14ac:dyDescent="0.2">
      <c r="A1360" s="49" t="str">
        <f t="shared" si="21"/>
        <v/>
      </c>
    </row>
    <row r="1361" spans="1:1" x14ac:dyDescent="0.2">
      <c r="A1361" s="49" t="str">
        <f t="shared" si="21"/>
        <v/>
      </c>
    </row>
    <row r="1362" spans="1:1" x14ac:dyDescent="0.2">
      <c r="A1362" s="49" t="str">
        <f t="shared" si="21"/>
        <v/>
      </c>
    </row>
    <row r="1363" spans="1:1" x14ac:dyDescent="0.2">
      <c r="A1363" s="49" t="str">
        <f t="shared" si="21"/>
        <v/>
      </c>
    </row>
    <row r="1364" spans="1:1" x14ac:dyDescent="0.2">
      <c r="A1364" s="49" t="str">
        <f t="shared" si="21"/>
        <v/>
      </c>
    </row>
    <row r="1365" spans="1:1" x14ac:dyDescent="0.2">
      <c r="A1365" s="49" t="str">
        <f t="shared" si="21"/>
        <v/>
      </c>
    </row>
    <row r="1366" spans="1:1" x14ac:dyDescent="0.2">
      <c r="A1366" s="49" t="str">
        <f t="shared" si="21"/>
        <v/>
      </c>
    </row>
    <row r="1367" spans="1:1" x14ac:dyDescent="0.2">
      <c r="A1367" s="49" t="str">
        <f t="shared" si="21"/>
        <v/>
      </c>
    </row>
    <row r="1368" spans="1:1" x14ac:dyDescent="0.2">
      <c r="A1368" s="49" t="str">
        <f t="shared" si="21"/>
        <v/>
      </c>
    </row>
    <row r="1369" spans="1:1" x14ac:dyDescent="0.2">
      <c r="A1369" s="49" t="str">
        <f t="shared" si="21"/>
        <v/>
      </c>
    </row>
    <row r="1370" spans="1:1" x14ac:dyDescent="0.2">
      <c r="A1370" s="49" t="str">
        <f t="shared" si="21"/>
        <v/>
      </c>
    </row>
    <row r="1371" spans="1:1" x14ac:dyDescent="0.2">
      <c r="A1371" s="49" t="str">
        <f t="shared" si="21"/>
        <v/>
      </c>
    </row>
    <row r="1372" spans="1:1" x14ac:dyDescent="0.2">
      <c r="A1372" s="49" t="str">
        <f t="shared" si="21"/>
        <v/>
      </c>
    </row>
    <row r="1373" spans="1:1" x14ac:dyDescent="0.2">
      <c r="A1373" s="49" t="str">
        <f t="shared" si="21"/>
        <v/>
      </c>
    </row>
    <row r="1374" spans="1:1" x14ac:dyDescent="0.2">
      <c r="A1374" s="49" t="str">
        <f t="shared" si="21"/>
        <v/>
      </c>
    </row>
    <row r="1375" spans="1:1" x14ac:dyDescent="0.2">
      <c r="A1375" s="49" t="str">
        <f t="shared" si="21"/>
        <v/>
      </c>
    </row>
    <row r="1376" spans="1:1" x14ac:dyDescent="0.2">
      <c r="A1376" s="49" t="str">
        <f t="shared" si="21"/>
        <v/>
      </c>
    </row>
    <row r="1377" spans="1:1" x14ac:dyDescent="0.2">
      <c r="A1377" s="49" t="str">
        <f t="shared" si="21"/>
        <v/>
      </c>
    </row>
    <row r="1378" spans="1:1" x14ac:dyDescent="0.2">
      <c r="A1378" s="49" t="str">
        <f t="shared" si="21"/>
        <v/>
      </c>
    </row>
    <row r="1379" spans="1:1" x14ac:dyDescent="0.2">
      <c r="A1379" s="49" t="str">
        <f t="shared" si="21"/>
        <v/>
      </c>
    </row>
    <row r="1380" spans="1:1" x14ac:dyDescent="0.2">
      <c r="A1380" s="49" t="str">
        <f t="shared" si="21"/>
        <v/>
      </c>
    </row>
    <row r="1381" spans="1:1" x14ac:dyDescent="0.2">
      <c r="A1381" s="49" t="str">
        <f t="shared" si="21"/>
        <v/>
      </c>
    </row>
    <row r="1382" spans="1:1" x14ac:dyDescent="0.2">
      <c r="A1382" s="49" t="str">
        <f t="shared" si="21"/>
        <v/>
      </c>
    </row>
    <row r="1383" spans="1:1" x14ac:dyDescent="0.2">
      <c r="A1383" s="49" t="str">
        <f t="shared" si="21"/>
        <v/>
      </c>
    </row>
    <row r="1384" spans="1:1" x14ac:dyDescent="0.2">
      <c r="A1384" s="49" t="str">
        <f t="shared" si="21"/>
        <v/>
      </c>
    </row>
    <row r="1385" spans="1:1" x14ac:dyDescent="0.2">
      <c r="A1385" s="49" t="str">
        <f t="shared" si="21"/>
        <v/>
      </c>
    </row>
    <row r="1386" spans="1:1" x14ac:dyDescent="0.2">
      <c r="A1386" s="49" t="str">
        <f t="shared" si="21"/>
        <v/>
      </c>
    </row>
    <row r="1387" spans="1:1" x14ac:dyDescent="0.2">
      <c r="A1387" s="49" t="str">
        <f t="shared" si="21"/>
        <v/>
      </c>
    </row>
    <row r="1388" spans="1:1" x14ac:dyDescent="0.2">
      <c r="A1388" s="49" t="str">
        <f t="shared" si="21"/>
        <v/>
      </c>
    </row>
    <row r="1389" spans="1:1" x14ac:dyDescent="0.2">
      <c r="A1389" s="49" t="str">
        <f t="shared" si="21"/>
        <v/>
      </c>
    </row>
    <row r="1390" spans="1:1" x14ac:dyDescent="0.2">
      <c r="A1390" s="49" t="str">
        <f t="shared" si="21"/>
        <v/>
      </c>
    </row>
    <row r="1391" spans="1:1" x14ac:dyDescent="0.2">
      <c r="A1391" s="49" t="str">
        <f t="shared" si="21"/>
        <v/>
      </c>
    </row>
    <row r="1392" spans="1:1" x14ac:dyDescent="0.2">
      <c r="A1392" s="49" t="str">
        <f t="shared" si="21"/>
        <v/>
      </c>
    </row>
    <row r="1393" spans="1:1" x14ac:dyDescent="0.2">
      <c r="A1393" s="49" t="str">
        <f t="shared" si="21"/>
        <v/>
      </c>
    </row>
    <row r="1394" spans="1:1" x14ac:dyDescent="0.2">
      <c r="A1394" s="49" t="str">
        <f t="shared" si="21"/>
        <v/>
      </c>
    </row>
    <row r="1395" spans="1:1" x14ac:dyDescent="0.2">
      <c r="A1395" s="49" t="str">
        <f t="shared" si="21"/>
        <v/>
      </c>
    </row>
    <row r="1396" spans="1:1" x14ac:dyDescent="0.2">
      <c r="A1396" s="49" t="str">
        <f t="shared" si="21"/>
        <v/>
      </c>
    </row>
    <row r="1397" spans="1:1" x14ac:dyDescent="0.2">
      <c r="A1397" s="49" t="str">
        <f t="shared" si="21"/>
        <v/>
      </c>
    </row>
    <row r="1398" spans="1:1" x14ac:dyDescent="0.2">
      <c r="A1398" s="49" t="str">
        <f t="shared" si="21"/>
        <v/>
      </c>
    </row>
    <row r="1399" spans="1:1" x14ac:dyDescent="0.2">
      <c r="A1399" s="49" t="str">
        <f t="shared" si="21"/>
        <v/>
      </c>
    </row>
    <row r="1400" spans="1:1" x14ac:dyDescent="0.2">
      <c r="A1400" s="49" t="str">
        <f t="shared" si="21"/>
        <v/>
      </c>
    </row>
    <row r="1401" spans="1:1" x14ac:dyDescent="0.2">
      <c r="A1401" s="49" t="str">
        <f t="shared" si="21"/>
        <v/>
      </c>
    </row>
    <row r="1402" spans="1:1" x14ac:dyDescent="0.2">
      <c r="A1402" s="49" t="str">
        <f t="shared" si="21"/>
        <v/>
      </c>
    </row>
    <row r="1403" spans="1:1" x14ac:dyDescent="0.2">
      <c r="A1403" s="49" t="str">
        <f t="shared" si="21"/>
        <v/>
      </c>
    </row>
    <row r="1404" spans="1:1" x14ac:dyDescent="0.2">
      <c r="A1404" s="49" t="str">
        <f t="shared" si="21"/>
        <v/>
      </c>
    </row>
    <row r="1405" spans="1:1" x14ac:dyDescent="0.2">
      <c r="A1405" s="49" t="str">
        <f t="shared" si="21"/>
        <v/>
      </c>
    </row>
    <row r="1406" spans="1:1" x14ac:dyDescent="0.2">
      <c r="A1406" s="49" t="str">
        <f t="shared" si="21"/>
        <v/>
      </c>
    </row>
    <row r="1407" spans="1:1" x14ac:dyDescent="0.2">
      <c r="A1407" s="49" t="str">
        <f t="shared" si="21"/>
        <v/>
      </c>
    </row>
    <row r="1408" spans="1:1" x14ac:dyDescent="0.2">
      <c r="A1408" s="49" t="str">
        <f t="shared" si="21"/>
        <v/>
      </c>
    </row>
    <row r="1409" spans="1:1" x14ac:dyDescent="0.2">
      <c r="A1409" s="49" t="str">
        <f t="shared" si="21"/>
        <v/>
      </c>
    </row>
    <row r="1410" spans="1:1" x14ac:dyDescent="0.2">
      <c r="A1410" s="49" t="str">
        <f t="shared" si="21"/>
        <v/>
      </c>
    </row>
    <row r="1411" spans="1:1" x14ac:dyDescent="0.2">
      <c r="A1411" s="49" t="str">
        <f t="shared" si="21"/>
        <v/>
      </c>
    </row>
    <row r="1412" spans="1:1" x14ac:dyDescent="0.2">
      <c r="A1412" s="49" t="str">
        <f t="shared" ref="A1412:A1475" si="22">IF(AND(B1411&lt;&gt;"",B1412=""),$A$2&amp;"---&gt;","")</f>
        <v/>
      </c>
    </row>
    <row r="1413" spans="1:1" x14ac:dyDescent="0.2">
      <c r="A1413" s="49" t="str">
        <f t="shared" si="22"/>
        <v/>
      </c>
    </row>
    <row r="1414" spans="1:1" x14ac:dyDescent="0.2">
      <c r="A1414" s="49" t="str">
        <f t="shared" si="22"/>
        <v/>
      </c>
    </row>
    <row r="1415" spans="1:1" x14ac:dyDescent="0.2">
      <c r="A1415" s="49" t="str">
        <f t="shared" si="22"/>
        <v/>
      </c>
    </row>
    <row r="1416" spans="1:1" x14ac:dyDescent="0.2">
      <c r="A1416" s="49" t="str">
        <f t="shared" si="22"/>
        <v/>
      </c>
    </row>
    <row r="1417" spans="1:1" x14ac:dyDescent="0.2">
      <c r="A1417" s="49" t="str">
        <f t="shared" si="22"/>
        <v/>
      </c>
    </row>
    <row r="1418" spans="1:1" x14ac:dyDescent="0.2">
      <c r="A1418" s="49" t="str">
        <f t="shared" si="22"/>
        <v/>
      </c>
    </row>
    <row r="1419" spans="1:1" x14ac:dyDescent="0.2">
      <c r="A1419" s="49" t="str">
        <f t="shared" si="22"/>
        <v/>
      </c>
    </row>
    <row r="1420" spans="1:1" x14ac:dyDescent="0.2">
      <c r="A1420" s="49" t="str">
        <f t="shared" si="22"/>
        <v/>
      </c>
    </row>
    <row r="1421" spans="1:1" x14ac:dyDescent="0.2">
      <c r="A1421" s="49" t="str">
        <f t="shared" si="22"/>
        <v/>
      </c>
    </row>
    <row r="1422" spans="1:1" x14ac:dyDescent="0.2">
      <c r="A1422" s="49" t="str">
        <f t="shared" si="22"/>
        <v/>
      </c>
    </row>
    <row r="1423" spans="1:1" x14ac:dyDescent="0.2">
      <c r="A1423" s="49" t="str">
        <f t="shared" si="22"/>
        <v/>
      </c>
    </row>
    <row r="1424" spans="1:1" x14ac:dyDescent="0.2">
      <c r="A1424" s="49" t="str">
        <f t="shared" si="22"/>
        <v/>
      </c>
    </row>
    <row r="1425" spans="1:1" x14ac:dyDescent="0.2">
      <c r="A1425" s="49" t="str">
        <f t="shared" si="22"/>
        <v/>
      </c>
    </row>
    <row r="1426" spans="1:1" x14ac:dyDescent="0.2">
      <c r="A1426" s="49" t="str">
        <f t="shared" si="22"/>
        <v/>
      </c>
    </row>
    <row r="1427" spans="1:1" x14ac:dyDescent="0.2">
      <c r="A1427" s="49" t="str">
        <f t="shared" si="22"/>
        <v/>
      </c>
    </row>
    <row r="1428" spans="1:1" x14ac:dyDescent="0.2">
      <c r="A1428" s="49" t="str">
        <f t="shared" si="22"/>
        <v/>
      </c>
    </row>
    <row r="1429" spans="1:1" x14ac:dyDescent="0.2">
      <c r="A1429" s="49" t="str">
        <f t="shared" si="22"/>
        <v/>
      </c>
    </row>
    <row r="1430" spans="1:1" x14ac:dyDescent="0.2">
      <c r="A1430" s="49" t="str">
        <f t="shared" si="22"/>
        <v/>
      </c>
    </row>
    <row r="1431" spans="1:1" x14ac:dyDescent="0.2">
      <c r="A1431" s="49" t="str">
        <f t="shared" si="22"/>
        <v/>
      </c>
    </row>
    <row r="1432" spans="1:1" x14ac:dyDescent="0.2">
      <c r="A1432" s="49" t="str">
        <f t="shared" si="22"/>
        <v/>
      </c>
    </row>
    <row r="1433" spans="1:1" x14ac:dyDescent="0.2">
      <c r="A1433" s="49" t="str">
        <f t="shared" si="22"/>
        <v/>
      </c>
    </row>
    <row r="1434" spans="1:1" x14ac:dyDescent="0.2">
      <c r="A1434" s="49" t="str">
        <f t="shared" si="22"/>
        <v/>
      </c>
    </row>
    <row r="1435" spans="1:1" x14ac:dyDescent="0.2">
      <c r="A1435" s="49" t="str">
        <f t="shared" si="22"/>
        <v/>
      </c>
    </row>
    <row r="1436" spans="1:1" x14ac:dyDescent="0.2">
      <c r="A1436" s="49" t="str">
        <f t="shared" si="22"/>
        <v/>
      </c>
    </row>
    <row r="1437" spans="1:1" x14ac:dyDescent="0.2">
      <c r="A1437" s="49" t="str">
        <f t="shared" si="22"/>
        <v/>
      </c>
    </row>
    <row r="1438" spans="1:1" x14ac:dyDescent="0.2">
      <c r="A1438" s="49" t="str">
        <f t="shared" si="22"/>
        <v/>
      </c>
    </row>
    <row r="1439" spans="1:1" x14ac:dyDescent="0.2">
      <c r="A1439" s="49" t="str">
        <f t="shared" si="22"/>
        <v/>
      </c>
    </row>
    <row r="1440" spans="1:1" x14ac:dyDescent="0.2">
      <c r="A1440" s="49" t="str">
        <f t="shared" si="22"/>
        <v/>
      </c>
    </row>
    <row r="1441" spans="1:1" x14ac:dyDescent="0.2">
      <c r="A1441" s="49" t="str">
        <f t="shared" si="22"/>
        <v/>
      </c>
    </row>
    <row r="1442" spans="1:1" x14ac:dyDescent="0.2">
      <c r="A1442" s="49" t="str">
        <f t="shared" si="22"/>
        <v/>
      </c>
    </row>
    <row r="1443" spans="1:1" x14ac:dyDescent="0.2">
      <c r="A1443" s="49" t="str">
        <f t="shared" si="22"/>
        <v/>
      </c>
    </row>
    <row r="1444" spans="1:1" x14ac:dyDescent="0.2">
      <c r="A1444" s="49" t="str">
        <f t="shared" si="22"/>
        <v/>
      </c>
    </row>
    <row r="1445" spans="1:1" x14ac:dyDescent="0.2">
      <c r="A1445" s="49" t="str">
        <f t="shared" si="22"/>
        <v/>
      </c>
    </row>
    <row r="1446" spans="1:1" x14ac:dyDescent="0.2">
      <c r="A1446" s="49" t="str">
        <f t="shared" si="22"/>
        <v/>
      </c>
    </row>
    <row r="1447" spans="1:1" x14ac:dyDescent="0.2">
      <c r="A1447" s="49" t="str">
        <f t="shared" si="22"/>
        <v/>
      </c>
    </row>
    <row r="1448" spans="1:1" x14ac:dyDescent="0.2">
      <c r="A1448" s="49" t="str">
        <f t="shared" si="22"/>
        <v/>
      </c>
    </row>
    <row r="1449" spans="1:1" x14ac:dyDescent="0.2">
      <c r="A1449" s="49" t="str">
        <f t="shared" si="22"/>
        <v/>
      </c>
    </row>
    <row r="1450" spans="1:1" x14ac:dyDescent="0.2">
      <c r="A1450" s="49" t="str">
        <f t="shared" si="22"/>
        <v/>
      </c>
    </row>
    <row r="1451" spans="1:1" x14ac:dyDescent="0.2">
      <c r="A1451" s="49" t="str">
        <f t="shared" si="22"/>
        <v/>
      </c>
    </row>
    <row r="1452" spans="1:1" x14ac:dyDescent="0.2">
      <c r="A1452" s="49" t="str">
        <f t="shared" si="22"/>
        <v/>
      </c>
    </row>
    <row r="1453" spans="1:1" x14ac:dyDescent="0.2">
      <c r="A1453" s="49" t="str">
        <f t="shared" si="22"/>
        <v/>
      </c>
    </row>
    <row r="1454" spans="1:1" x14ac:dyDescent="0.2">
      <c r="A1454" s="49" t="str">
        <f t="shared" si="22"/>
        <v/>
      </c>
    </row>
    <row r="1455" spans="1:1" x14ac:dyDescent="0.2">
      <c r="A1455" s="49" t="str">
        <f t="shared" si="22"/>
        <v/>
      </c>
    </row>
    <row r="1456" spans="1:1" x14ac:dyDescent="0.2">
      <c r="A1456" s="49" t="str">
        <f t="shared" si="22"/>
        <v/>
      </c>
    </row>
    <row r="1457" spans="1:1" x14ac:dyDescent="0.2">
      <c r="A1457" s="49" t="str">
        <f t="shared" si="22"/>
        <v/>
      </c>
    </row>
    <row r="1458" spans="1:1" x14ac:dyDescent="0.2">
      <c r="A1458" s="49" t="str">
        <f t="shared" si="22"/>
        <v/>
      </c>
    </row>
    <row r="1459" spans="1:1" x14ac:dyDescent="0.2">
      <c r="A1459" s="49" t="str">
        <f t="shared" si="22"/>
        <v/>
      </c>
    </row>
    <row r="1460" spans="1:1" x14ac:dyDescent="0.2">
      <c r="A1460" s="49" t="str">
        <f t="shared" si="22"/>
        <v/>
      </c>
    </row>
    <row r="1461" spans="1:1" x14ac:dyDescent="0.2">
      <c r="A1461" s="49" t="str">
        <f t="shared" si="22"/>
        <v/>
      </c>
    </row>
    <row r="1462" spans="1:1" x14ac:dyDescent="0.2">
      <c r="A1462" s="49" t="str">
        <f t="shared" si="22"/>
        <v/>
      </c>
    </row>
    <row r="1463" spans="1:1" x14ac:dyDescent="0.2">
      <c r="A1463" s="49" t="str">
        <f t="shared" si="22"/>
        <v/>
      </c>
    </row>
    <row r="1464" spans="1:1" x14ac:dyDescent="0.2">
      <c r="A1464" s="49" t="str">
        <f t="shared" si="22"/>
        <v/>
      </c>
    </row>
    <row r="1465" spans="1:1" x14ac:dyDescent="0.2">
      <c r="A1465" s="49" t="str">
        <f t="shared" si="22"/>
        <v/>
      </c>
    </row>
    <row r="1466" spans="1:1" x14ac:dyDescent="0.2">
      <c r="A1466" s="49" t="str">
        <f t="shared" si="22"/>
        <v/>
      </c>
    </row>
    <row r="1467" spans="1:1" x14ac:dyDescent="0.2">
      <c r="A1467" s="49" t="str">
        <f t="shared" si="22"/>
        <v/>
      </c>
    </row>
    <row r="1468" spans="1:1" x14ac:dyDescent="0.2">
      <c r="A1468" s="49" t="str">
        <f t="shared" si="22"/>
        <v/>
      </c>
    </row>
    <row r="1469" spans="1:1" x14ac:dyDescent="0.2">
      <c r="A1469" s="49" t="str">
        <f t="shared" si="22"/>
        <v/>
      </c>
    </row>
    <row r="1470" spans="1:1" x14ac:dyDescent="0.2">
      <c r="A1470" s="49" t="str">
        <f t="shared" si="22"/>
        <v/>
      </c>
    </row>
    <row r="1471" spans="1:1" x14ac:dyDescent="0.2">
      <c r="A1471" s="49" t="str">
        <f t="shared" si="22"/>
        <v/>
      </c>
    </row>
    <row r="1472" spans="1:1" x14ac:dyDescent="0.2">
      <c r="A1472" s="49" t="str">
        <f t="shared" si="22"/>
        <v/>
      </c>
    </row>
    <row r="1473" spans="1:1" x14ac:dyDescent="0.2">
      <c r="A1473" s="49" t="str">
        <f t="shared" si="22"/>
        <v/>
      </c>
    </row>
    <row r="1474" spans="1:1" x14ac:dyDescent="0.2">
      <c r="A1474" s="49" t="str">
        <f t="shared" si="22"/>
        <v/>
      </c>
    </row>
    <row r="1475" spans="1:1" x14ac:dyDescent="0.2">
      <c r="A1475" s="49" t="str">
        <f t="shared" si="22"/>
        <v/>
      </c>
    </row>
    <row r="1476" spans="1:1" x14ac:dyDescent="0.2">
      <c r="A1476" s="49" t="str">
        <f t="shared" ref="A1476:A1539" si="23">IF(AND(B1475&lt;&gt;"",B1476=""),$A$2&amp;"---&gt;","")</f>
        <v/>
      </c>
    </row>
    <row r="1477" spans="1:1" x14ac:dyDescent="0.2">
      <c r="A1477" s="49" t="str">
        <f t="shared" si="23"/>
        <v/>
      </c>
    </row>
    <row r="1478" spans="1:1" x14ac:dyDescent="0.2">
      <c r="A1478" s="49" t="str">
        <f t="shared" si="23"/>
        <v/>
      </c>
    </row>
    <row r="1479" spans="1:1" x14ac:dyDescent="0.2">
      <c r="A1479" s="49" t="str">
        <f t="shared" si="23"/>
        <v/>
      </c>
    </row>
    <row r="1480" spans="1:1" x14ac:dyDescent="0.2">
      <c r="A1480" s="49" t="str">
        <f t="shared" si="23"/>
        <v/>
      </c>
    </row>
    <row r="1481" spans="1:1" x14ac:dyDescent="0.2">
      <c r="A1481" s="49" t="str">
        <f t="shared" si="23"/>
        <v/>
      </c>
    </row>
    <row r="1482" spans="1:1" x14ac:dyDescent="0.2">
      <c r="A1482" s="49" t="str">
        <f t="shared" si="23"/>
        <v/>
      </c>
    </row>
    <row r="1483" spans="1:1" x14ac:dyDescent="0.2">
      <c r="A1483" s="49" t="str">
        <f t="shared" si="23"/>
        <v/>
      </c>
    </row>
    <row r="1484" spans="1:1" x14ac:dyDescent="0.2">
      <c r="A1484" s="49" t="str">
        <f t="shared" si="23"/>
        <v/>
      </c>
    </row>
    <row r="1485" spans="1:1" x14ac:dyDescent="0.2">
      <c r="A1485" s="49" t="str">
        <f t="shared" si="23"/>
        <v/>
      </c>
    </row>
    <row r="1486" spans="1:1" x14ac:dyDescent="0.2">
      <c r="A1486" s="49" t="str">
        <f t="shared" si="23"/>
        <v/>
      </c>
    </row>
    <row r="1487" spans="1:1" x14ac:dyDescent="0.2">
      <c r="A1487" s="49" t="str">
        <f t="shared" si="23"/>
        <v/>
      </c>
    </row>
    <row r="1488" spans="1:1" x14ac:dyDescent="0.2">
      <c r="A1488" s="49" t="str">
        <f t="shared" si="23"/>
        <v/>
      </c>
    </row>
    <row r="1489" spans="1:1" x14ac:dyDescent="0.2">
      <c r="A1489" s="49" t="str">
        <f t="shared" si="23"/>
        <v/>
      </c>
    </row>
    <row r="1490" spans="1:1" x14ac:dyDescent="0.2">
      <c r="A1490" s="49" t="str">
        <f t="shared" si="23"/>
        <v/>
      </c>
    </row>
    <row r="1491" spans="1:1" x14ac:dyDescent="0.2">
      <c r="A1491" s="49" t="str">
        <f t="shared" si="23"/>
        <v/>
      </c>
    </row>
    <row r="1492" spans="1:1" x14ac:dyDescent="0.2">
      <c r="A1492" s="49" t="str">
        <f t="shared" si="23"/>
        <v/>
      </c>
    </row>
    <row r="1493" spans="1:1" x14ac:dyDescent="0.2">
      <c r="A1493" s="49" t="str">
        <f t="shared" si="23"/>
        <v/>
      </c>
    </row>
    <row r="1494" spans="1:1" x14ac:dyDescent="0.2">
      <c r="A1494" s="49" t="str">
        <f t="shared" si="23"/>
        <v/>
      </c>
    </row>
    <row r="1495" spans="1:1" x14ac:dyDescent="0.2">
      <c r="A1495" s="49" t="str">
        <f t="shared" si="23"/>
        <v/>
      </c>
    </row>
    <row r="1496" spans="1:1" x14ac:dyDescent="0.2">
      <c r="A1496" s="49" t="str">
        <f t="shared" si="23"/>
        <v/>
      </c>
    </row>
    <row r="1497" spans="1:1" x14ac:dyDescent="0.2">
      <c r="A1497" s="49" t="str">
        <f t="shared" si="23"/>
        <v/>
      </c>
    </row>
    <row r="1498" spans="1:1" x14ac:dyDescent="0.2">
      <c r="A1498" s="49" t="str">
        <f t="shared" si="23"/>
        <v/>
      </c>
    </row>
    <row r="1499" spans="1:1" x14ac:dyDescent="0.2">
      <c r="A1499" s="49" t="str">
        <f t="shared" si="23"/>
        <v/>
      </c>
    </row>
    <row r="1500" spans="1:1" x14ac:dyDescent="0.2">
      <c r="A1500" s="49" t="str">
        <f t="shared" si="23"/>
        <v/>
      </c>
    </row>
    <row r="1501" spans="1:1" x14ac:dyDescent="0.2">
      <c r="A1501" s="49" t="str">
        <f t="shared" si="23"/>
        <v/>
      </c>
    </row>
    <row r="1502" spans="1:1" x14ac:dyDescent="0.2">
      <c r="A1502" s="49" t="str">
        <f t="shared" si="23"/>
        <v/>
      </c>
    </row>
    <row r="1503" spans="1:1" x14ac:dyDescent="0.2">
      <c r="A1503" s="49" t="str">
        <f t="shared" si="23"/>
        <v/>
      </c>
    </row>
    <row r="1504" spans="1:1" x14ac:dyDescent="0.2">
      <c r="A1504" s="49" t="str">
        <f t="shared" si="23"/>
        <v/>
      </c>
    </row>
    <row r="1505" spans="1:1" x14ac:dyDescent="0.2">
      <c r="A1505" s="49" t="str">
        <f t="shared" si="23"/>
        <v/>
      </c>
    </row>
    <row r="1506" spans="1:1" x14ac:dyDescent="0.2">
      <c r="A1506" s="49" t="str">
        <f t="shared" si="23"/>
        <v/>
      </c>
    </row>
    <row r="1507" spans="1:1" x14ac:dyDescent="0.2">
      <c r="A1507" s="49" t="str">
        <f t="shared" si="23"/>
        <v/>
      </c>
    </row>
    <row r="1508" spans="1:1" x14ac:dyDescent="0.2">
      <c r="A1508" s="49" t="str">
        <f t="shared" si="23"/>
        <v/>
      </c>
    </row>
    <row r="1509" spans="1:1" x14ac:dyDescent="0.2">
      <c r="A1509" s="49" t="str">
        <f t="shared" si="23"/>
        <v/>
      </c>
    </row>
    <row r="1510" spans="1:1" x14ac:dyDescent="0.2">
      <c r="A1510" s="49" t="str">
        <f t="shared" si="23"/>
        <v/>
      </c>
    </row>
    <row r="1511" spans="1:1" x14ac:dyDescent="0.2">
      <c r="A1511" s="49" t="str">
        <f t="shared" si="23"/>
        <v/>
      </c>
    </row>
    <row r="1512" spans="1:1" x14ac:dyDescent="0.2">
      <c r="A1512" s="49" t="str">
        <f t="shared" si="23"/>
        <v/>
      </c>
    </row>
    <row r="1513" spans="1:1" x14ac:dyDescent="0.2">
      <c r="A1513" s="49" t="str">
        <f t="shared" si="23"/>
        <v/>
      </c>
    </row>
    <row r="1514" spans="1:1" x14ac:dyDescent="0.2">
      <c r="A1514" s="49" t="str">
        <f t="shared" si="23"/>
        <v/>
      </c>
    </row>
    <row r="1515" spans="1:1" x14ac:dyDescent="0.2">
      <c r="A1515" s="49" t="str">
        <f t="shared" si="23"/>
        <v/>
      </c>
    </row>
    <row r="1516" spans="1:1" x14ac:dyDescent="0.2">
      <c r="A1516" s="49" t="str">
        <f t="shared" si="23"/>
        <v/>
      </c>
    </row>
    <row r="1517" spans="1:1" x14ac:dyDescent="0.2">
      <c r="A1517" s="49" t="str">
        <f t="shared" si="23"/>
        <v/>
      </c>
    </row>
    <row r="1518" spans="1:1" x14ac:dyDescent="0.2">
      <c r="A1518" s="49" t="str">
        <f t="shared" si="23"/>
        <v/>
      </c>
    </row>
    <row r="1519" spans="1:1" x14ac:dyDescent="0.2">
      <c r="A1519" s="49" t="str">
        <f t="shared" si="23"/>
        <v/>
      </c>
    </row>
    <row r="1520" spans="1:1" x14ac:dyDescent="0.2">
      <c r="A1520" s="49" t="str">
        <f t="shared" si="23"/>
        <v/>
      </c>
    </row>
    <row r="1521" spans="1:1" x14ac:dyDescent="0.2">
      <c r="A1521" s="49" t="str">
        <f t="shared" si="23"/>
        <v/>
      </c>
    </row>
    <row r="1522" spans="1:1" x14ac:dyDescent="0.2">
      <c r="A1522" s="49" t="str">
        <f t="shared" si="23"/>
        <v/>
      </c>
    </row>
    <row r="1523" spans="1:1" x14ac:dyDescent="0.2">
      <c r="A1523" s="49" t="str">
        <f t="shared" si="23"/>
        <v/>
      </c>
    </row>
    <row r="1524" spans="1:1" x14ac:dyDescent="0.2">
      <c r="A1524" s="49" t="str">
        <f t="shared" si="23"/>
        <v/>
      </c>
    </row>
    <row r="1525" spans="1:1" x14ac:dyDescent="0.2">
      <c r="A1525" s="49" t="str">
        <f t="shared" si="23"/>
        <v/>
      </c>
    </row>
    <row r="1526" spans="1:1" x14ac:dyDescent="0.2">
      <c r="A1526" s="49" t="str">
        <f t="shared" si="23"/>
        <v/>
      </c>
    </row>
    <row r="1527" spans="1:1" x14ac:dyDescent="0.2">
      <c r="A1527" s="49" t="str">
        <f t="shared" si="23"/>
        <v/>
      </c>
    </row>
    <row r="1528" spans="1:1" x14ac:dyDescent="0.2">
      <c r="A1528" s="49" t="str">
        <f t="shared" si="23"/>
        <v/>
      </c>
    </row>
    <row r="1529" spans="1:1" x14ac:dyDescent="0.2">
      <c r="A1529" s="49" t="str">
        <f t="shared" si="23"/>
        <v/>
      </c>
    </row>
    <row r="1530" spans="1:1" x14ac:dyDescent="0.2">
      <c r="A1530" s="49" t="str">
        <f t="shared" si="23"/>
        <v/>
      </c>
    </row>
    <row r="1531" spans="1:1" x14ac:dyDescent="0.2">
      <c r="A1531" s="49" t="str">
        <f t="shared" si="23"/>
        <v/>
      </c>
    </row>
    <row r="1532" spans="1:1" x14ac:dyDescent="0.2">
      <c r="A1532" s="49" t="str">
        <f t="shared" si="23"/>
        <v/>
      </c>
    </row>
    <row r="1533" spans="1:1" x14ac:dyDescent="0.2">
      <c r="A1533" s="49" t="str">
        <f t="shared" si="23"/>
        <v/>
      </c>
    </row>
    <row r="1534" spans="1:1" x14ac:dyDescent="0.2">
      <c r="A1534" s="49" t="str">
        <f t="shared" si="23"/>
        <v/>
      </c>
    </row>
    <row r="1535" spans="1:1" x14ac:dyDescent="0.2">
      <c r="A1535" s="49" t="str">
        <f t="shared" si="23"/>
        <v/>
      </c>
    </row>
    <row r="1536" spans="1:1" x14ac:dyDescent="0.2">
      <c r="A1536" s="49" t="str">
        <f t="shared" si="23"/>
        <v/>
      </c>
    </row>
    <row r="1537" spans="1:1" x14ac:dyDescent="0.2">
      <c r="A1537" s="49" t="str">
        <f t="shared" si="23"/>
        <v/>
      </c>
    </row>
    <row r="1538" spans="1:1" x14ac:dyDescent="0.2">
      <c r="A1538" s="49" t="str">
        <f t="shared" si="23"/>
        <v/>
      </c>
    </row>
    <row r="1539" spans="1:1" x14ac:dyDescent="0.2">
      <c r="A1539" s="49" t="str">
        <f t="shared" si="23"/>
        <v/>
      </c>
    </row>
    <row r="1540" spans="1:1" x14ac:dyDescent="0.2">
      <c r="A1540" s="49" t="str">
        <f t="shared" ref="A1540:A1603" si="24">IF(AND(B1539&lt;&gt;"",B1540=""),$A$2&amp;"---&gt;","")</f>
        <v/>
      </c>
    </row>
    <row r="1541" spans="1:1" x14ac:dyDescent="0.2">
      <c r="A1541" s="49" t="str">
        <f t="shared" si="24"/>
        <v/>
      </c>
    </row>
    <row r="1542" spans="1:1" x14ac:dyDescent="0.2">
      <c r="A1542" s="49" t="str">
        <f t="shared" si="24"/>
        <v/>
      </c>
    </row>
    <row r="1543" spans="1:1" x14ac:dyDescent="0.2">
      <c r="A1543" s="49" t="str">
        <f t="shared" si="24"/>
        <v/>
      </c>
    </row>
    <row r="1544" spans="1:1" x14ac:dyDescent="0.2">
      <c r="A1544" s="49" t="str">
        <f t="shared" si="24"/>
        <v/>
      </c>
    </row>
    <row r="1545" spans="1:1" x14ac:dyDescent="0.2">
      <c r="A1545" s="49" t="str">
        <f t="shared" si="24"/>
        <v/>
      </c>
    </row>
    <row r="1546" spans="1:1" x14ac:dyDescent="0.2">
      <c r="A1546" s="49" t="str">
        <f t="shared" si="24"/>
        <v/>
      </c>
    </row>
    <row r="1547" spans="1:1" x14ac:dyDescent="0.2">
      <c r="A1547" s="49" t="str">
        <f t="shared" si="24"/>
        <v/>
      </c>
    </row>
    <row r="1548" spans="1:1" x14ac:dyDescent="0.2">
      <c r="A1548" s="49" t="str">
        <f t="shared" si="24"/>
        <v/>
      </c>
    </row>
    <row r="1549" spans="1:1" x14ac:dyDescent="0.2">
      <c r="A1549" s="49" t="str">
        <f t="shared" si="24"/>
        <v/>
      </c>
    </row>
    <row r="1550" spans="1:1" x14ac:dyDescent="0.2">
      <c r="A1550" s="49" t="str">
        <f t="shared" si="24"/>
        <v/>
      </c>
    </row>
    <row r="1551" spans="1:1" x14ac:dyDescent="0.2">
      <c r="A1551" s="49" t="str">
        <f t="shared" si="24"/>
        <v/>
      </c>
    </row>
    <row r="1552" spans="1:1" x14ac:dyDescent="0.2">
      <c r="A1552" s="49" t="str">
        <f t="shared" si="24"/>
        <v/>
      </c>
    </row>
    <row r="1553" spans="1:1" x14ac:dyDescent="0.2">
      <c r="A1553" s="49" t="str">
        <f t="shared" si="24"/>
        <v/>
      </c>
    </row>
    <row r="1554" spans="1:1" x14ac:dyDescent="0.2">
      <c r="A1554" s="49" t="str">
        <f t="shared" si="24"/>
        <v/>
      </c>
    </row>
    <row r="1555" spans="1:1" x14ac:dyDescent="0.2">
      <c r="A1555" s="49" t="str">
        <f t="shared" si="24"/>
        <v/>
      </c>
    </row>
    <row r="1556" spans="1:1" x14ac:dyDescent="0.2">
      <c r="A1556" s="49" t="str">
        <f t="shared" si="24"/>
        <v/>
      </c>
    </row>
    <row r="1557" spans="1:1" x14ac:dyDescent="0.2">
      <c r="A1557" s="49" t="str">
        <f t="shared" si="24"/>
        <v/>
      </c>
    </row>
    <row r="1558" spans="1:1" x14ac:dyDescent="0.2">
      <c r="A1558" s="49" t="str">
        <f t="shared" si="24"/>
        <v/>
      </c>
    </row>
    <row r="1559" spans="1:1" x14ac:dyDescent="0.2">
      <c r="A1559" s="49" t="str">
        <f t="shared" si="24"/>
        <v/>
      </c>
    </row>
    <row r="1560" spans="1:1" x14ac:dyDescent="0.2">
      <c r="A1560" s="49" t="str">
        <f t="shared" si="24"/>
        <v/>
      </c>
    </row>
    <row r="1561" spans="1:1" x14ac:dyDescent="0.2">
      <c r="A1561" s="49" t="str">
        <f t="shared" si="24"/>
        <v/>
      </c>
    </row>
    <row r="1562" spans="1:1" x14ac:dyDescent="0.2">
      <c r="A1562" s="49" t="str">
        <f t="shared" si="24"/>
        <v/>
      </c>
    </row>
    <row r="1563" spans="1:1" x14ac:dyDescent="0.2">
      <c r="A1563" s="49" t="str">
        <f t="shared" si="24"/>
        <v/>
      </c>
    </row>
    <row r="1564" spans="1:1" x14ac:dyDescent="0.2">
      <c r="A1564" s="49" t="str">
        <f t="shared" si="24"/>
        <v/>
      </c>
    </row>
    <row r="1565" spans="1:1" x14ac:dyDescent="0.2">
      <c r="A1565" s="49" t="str">
        <f t="shared" si="24"/>
        <v/>
      </c>
    </row>
    <row r="1566" spans="1:1" x14ac:dyDescent="0.2">
      <c r="A1566" s="49" t="str">
        <f t="shared" si="24"/>
        <v/>
      </c>
    </row>
    <row r="1567" spans="1:1" x14ac:dyDescent="0.2">
      <c r="A1567" s="49" t="str">
        <f t="shared" si="24"/>
        <v/>
      </c>
    </row>
    <row r="1568" spans="1:1" x14ac:dyDescent="0.2">
      <c r="A1568" s="49" t="str">
        <f t="shared" si="24"/>
        <v/>
      </c>
    </row>
    <row r="1569" spans="1:1" x14ac:dyDescent="0.2">
      <c r="A1569" s="49" t="str">
        <f t="shared" si="24"/>
        <v/>
      </c>
    </row>
    <row r="1570" spans="1:1" x14ac:dyDescent="0.2">
      <c r="A1570" s="49" t="str">
        <f t="shared" si="24"/>
        <v/>
      </c>
    </row>
    <row r="1571" spans="1:1" x14ac:dyDescent="0.2">
      <c r="A1571" s="49" t="str">
        <f t="shared" si="24"/>
        <v/>
      </c>
    </row>
    <row r="1572" spans="1:1" x14ac:dyDescent="0.2">
      <c r="A1572" s="49" t="str">
        <f t="shared" si="24"/>
        <v/>
      </c>
    </row>
    <row r="1573" spans="1:1" x14ac:dyDescent="0.2">
      <c r="A1573" s="49" t="str">
        <f t="shared" si="24"/>
        <v/>
      </c>
    </row>
    <row r="1574" spans="1:1" x14ac:dyDescent="0.2">
      <c r="A1574" s="49" t="str">
        <f t="shared" si="24"/>
        <v/>
      </c>
    </row>
    <row r="1575" spans="1:1" x14ac:dyDescent="0.2">
      <c r="A1575" s="49" t="str">
        <f t="shared" si="24"/>
        <v/>
      </c>
    </row>
    <row r="1576" spans="1:1" x14ac:dyDescent="0.2">
      <c r="A1576" s="49" t="str">
        <f t="shared" si="24"/>
        <v/>
      </c>
    </row>
    <row r="1577" spans="1:1" x14ac:dyDescent="0.2">
      <c r="A1577" s="49" t="str">
        <f t="shared" si="24"/>
        <v/>
      </c>
    </row>
    <row r="1578" spans="1:1" x14ac:dyDescent="0.2">
      <c r="A1578" s="49" t="str">
        <f t="shared" si="24"/>
        <v/>
      </c>
    </row>
    <row r="1579" spans="1:1" x14ac:dyDescent="0.2">
      <c r="A1579" s="49" t="str">
        <f t="shared" si="24"/>
        <v/>
      </c>
    </row>
    <row r="1580" spans="1:1" x14ac:dyDescent="0.2">
      <c r="A1580" s="49" t="str">
        <f t="shared" si="24"/>
        <v/>
      </c>
    </row>
    <row r="1581" spans="1:1" x14ac:dyDescent="0.2">
      <c r="A1581" s="49" t="str">
        <f t="shared" si="24"/>
        <v/>
      </c>
    </row>
    <row r="1582" spans="1:1" x14ac:dyDescent="0.2">
      <c r="A1582" s="49" t="str">
        <f t="shared" si="24"/>
        <v/>
      </c>
    </row>
    <row r="1583" spans="1:1" x14ac:dyDescent="0.2">
      <c r="A1583" s="49" t="str">
        <f t="shared" si="24"/>
        <v/>
      </c>
    </row>
    <row r="1584" spans="1:1" x14ac:dyDescent="0.2">
      <c r="A1584" s="49" t="str">
        <f t="shared" si="24"/>
        <v/>
      </c>
    </row>
    <row r="1585" spans="1:1" x14ac:dyDescent="0.2">
      <c r="A1585" s="49" t="str">
        <f t="shared" si="24"/>
        <v/>
      </c>
    </row>
    <row r="1586" spans="1:1" x14ac:dyDescent="0.2">
      <c r="A1586" s="49" t="str">
        <f t="shared" si="24"/>
        <v/>
      </c>
    </row>
    <row r="1587" spans="1:1" x14ac:dyDescent="0.2">
      <c r="A1587" s="49" t="str">
        <f t="shared" si="24"/>
        <v/>
      </c>
    </row>
    <row r="1588" spans="1:1" x14ac:dyDescent="0.2">
      <c r="A1588" s="49" t="str">
        <f t="shared" si="24"/>
        <v/>
      </c>
    </row>
    <row r="1589" spans="1:1" x14ac:dyDescent="0.2">
      <c r="A1589" s="49" t="str">
        <f t="shared" si="24"/>
        <v/>
      </c>
    </row>
    <row r="1590" spans="1:1" x14ac:dyDescent="0.2">
      <c r="A1590" s="49" t="str">
        <f t="shared" si="24"/>
        <v/>
      </c>
    </row>
    <row r="1591" spans="1:1" x14ac:dyDescent="0.2">
      <c r="A1591" s="49" t="str">
        <f t="shared" si="24"/>
        <v/>
      </c>
    </row>
    <row r="1592" spans="1:1" x14ac:dyDescent="0.2">
      <c r="A1592" s="49" t="str">
        <f t="shared" si="24"/>
        <v/>
      </c>
    </row>
    <row r="1593" spans="1:1" x14ac:dyDescent="0.2">
      <c r="A1593" s="49" t="str">
        <f t="shared" si="24"/>
        <v/>
      </c>
    </row>
    <row r="1594" spans="1:1" x14ac:dyDescent="0.2">
      <c r="A1594" s="49" t="str">
        <f t="shared" si="24"/>
        <v/>
      </c>
    </row>
    <row r="1595" spans="1:1" x14ac:dyDescent="0.2">
      <c r="A1595" s="49" t="str">
        <f t="shared" si="24"/>
        <v/>
      </c>
    </row>
    <row r="1596" spans="1:1" x14ac:dyDescent="0.2">
      <c r="A1596" s="49" t="str">
        <f t="shared" si="24"/>
        <v/>
      </c>
    </row>
    <row r="1597" spans="1:1" x14ac:dyDescent="0.2">
      <c r="A1597" s="49" t="str">
        <f t="shared" si="24"/>
        <v/>
      </c>
    </row>
    <row r="1598" spans="1:1" x14ac:dyDescent="0.2">
      <c r="A1598" s="49" t="str">
        <f t="shared" si="24"/>
        <v/>
      </c>
    </row>
    <row r="1599" spans="1:1" x14ac:dyDescent="0.2">
      <c r="A1599" s="49" t="str">
        <f t="shared" si="24"/>
        <v/>
      </c>
    </row>
    <row r="1600" spans="1:1" x14ac:dyDescent="0.2">
      <c r="A1600" s="49" t="str">
        <f t="shared" si="24"/>
        <v/>
      </c>
    </row>
    <row r="1601" spans="1:1" x14ac:dyDescent="0.2">
      <c r="A1601" s="49" t="str">
        <f t="shared" si="24"/>
        <v/>
      </c>
    </row>
    <row r="1602" spans="1:1" x14ac:dyDescent="0.2">
      <c r="A1602" s="49" t="str">
        <f t="shared" si="24"/>
        <v/>
      </c>
    </row>
    <row r="1603" spans="1:1" x14ac:dyDescent="0.2">
      <c r="A1603" s="49" t="str">
        <f t="shared" si="24"/>
        <v/>
      </c>
    </row>
    <row r="1604" spans="1:1" x14ac:dyDescent="0.2">
      <c r="A1604" s="49" t="str">
        <f t="shared" ref="A1604:A1667" si="25">IF(AND(B1603&lt;&gt;"",B1604=""),$A$2&amp;"---&gt;","")</f>
        <v/>
      </c>
    </row>
    <row r="1605" spans="1:1" x14ac:dyDescent="0.2">
      <c r="A1605" s="49" t="str">
        <f t="shared" si="25"/>
        <v/>
      </c>
    </row>
    <row r="1606" spans="1:1" x14ac:dyDescent="0.2">
      <c r="A1606" s="49" t="str">
        <f t="shared" si="25"/>
        <v/>
      </c>
    </row>
    <row r="1607" spans="1:1" x14ac:dyDescent="0.2">
      <c r="A1607" s="49" t="str">
        <f t="shared" si="25"/>
        <v/>
      </c>
    </row>
    <row r="1608" spans="1:1" x14ac:dyDescent="0.2">
      <c r="A1608" s="49" t="str">
        <f t="shared" si="25"/>
        <v/>
      </c>
    </row>
    <row r="1609" spans="1:1" x14ac:dyDescent="0.2">
      <c r="A1609" s="49" t="str">
        <f t="shared" si="25"/>
        <v/>
      </c>
    </row>
    <row r="1610" spans="1:1" x14ac:dyDescent="0.2">
      <c r="A1610" s="49" t="str">
        <f t="shared" si="25"/>
        <v/>
      </c>
    </row>
    <row r="1611" spans="1:1" x14ac:dyDescent="0.2">
      <c r="A1611" s="49" t="str">
        <f t="shared" si="25"/>
        <v/>
      </c>
    </row>
    <row r="1612" spans="1:1" x14ac:dyDescent="0.2">
      <c r="A1612" s="49" t="str">
        <f t="shared" si="25"/>
        <v/>
      </c>
    </row>
    <row r="1613" spans="1:1" x14ac:dyDescent="0.2">
      <c r="A1613" s="49" t="str">
        <f t="shared" si="25"/>
        <v/>
      </c>
    </row>
    <row r="1614" spans="1:1" x14ac:dyDescent="0.2">
      <c r="A1614" s="49" t="str">
        <f t="shared" si="25"/>
        <v/>
      </c>
    </row>
    <row r="1615" spans="1:1" x14ac:dyDescent="0.2">
      <c r="A1615" s="49" t="str">
        <f t="shared" si="25"/>
        <v/>
      </c>
    </row>
    <row r="1616" spans="1:1" x14ac:dyDescent="0.2">
      <c r="A1616" s="49" t="str">
        <f t="shared" si="25"/>
        <v/>
      </c>
    </row>
    <row r="1617" spans="1:1" x14ac:dyDescent="0.2">
      <c r="A1617" s="49" t="str">
        <f t="shared" si="25"/>
        <v/>
      </c>
    </row>
    <row r="1618" spans="1:1" x14ac:dyDescent="0.2">
      <c r="A1618" s="49" t="str">
        <f t="shared" si="25"/>
        <v/>
      </c>
    </row>
    <row r="1619" spans="1:1" x14ac:dyDescent="0.2">
      <c r="A1619" s="49" t="str">
        <f t="shared" si="25"/>
        <v/>
      </c>
    </row>
    <row r="1620" spans="1:1" x14ac:dyDescent="0.2">
      <c r="A1620" s="49" t="str">
        <f t="shared" si="25"/>
        <v/>
      </c>
    </row>
    <row r="1621" spans="1:1" x14ac:dyDescent="0.2">
      <c r="A1621" s="49" t="str">
        <f t="shared" si="25"/>
        <v/>
      </c>
    </row>
    <row r="1622" spans="1:1" x14ac:dyDescent="0.2">
      <c r="A1622" s="49" t="str">
        <f t="shared" si="25"/>
        <v/>
      </c>
    </row>
    <row r="1623" spans="1:1" x14ac:dyDescent="0.2">
      <c r="A1623" s="49" t="str">
        <f t="shared" si="25"/>
        <v/>
      </c>
    </row>
    <row r="1624" spans="1:1" x14ac:dyDescent="0.2">
      <c r="A1624" s="49" t="str">
        <f t="shared" si="25"/>
        <v/>
      </c>
    </row>
    <row r="1625" spans="1:1" x14ac:dyDescent="0.2">
      <c r="A1625" s="49" t="str">
        <f t="shared" si="25"/>
        <v/>
      </c>
    </row>
    <row r="1626" spans="1:1" x14ac:dyDescent="0.2">
      <c r="A1626" s="49" t="str">
        <f t="shared" si="25"/>
        <v/>
      </c>
    </row>
    <row r="1627" spans="1:1" x14ac:dyDescent="0.2">
      <c r="A1627" s="49" t="str">
        <f t="shared" si="25"/>
        <v/>
      </c>
    </row>
    <row r="1628" spans="1:1" x14ac:dyDescent="0.2">
      <c r="A1628" s="49" t="str">
        <f t="shared" si="25"/>
        <v/>
      </c>
    </row>
    <row r="1629" spans="1:1" x14ac:dyDescent="0.2">
      <c r="A1629" s="49" t="str">
        <f t="shared" si="25"/>
        <v/>
      </c>
    </row>
    <row r="1630" spans="1:1" x14ac:dyDescent="0.2">
      <c r="A1630" s="49" t="str">
        <f t="shared" si="25"/>
        <v/>
      </c>
    </row>
    <row r="1631" spans="1:1" x14ac:dyDescent="0.2">
      <c r="A1631" s="49" t="str">
        <f t="shared" si="25"/>
        <v/>
      </c>
    </row>
    <row r="1632" spans="1:1" x14ac:dyDescent="0.2">
      <c r="A1632" s="49" t="str">
        <f t="shared" si="25"/>
        <v/>
      </c>
    </row>
    <row r="1633" spans="1:1" x14ac:dyDescent="0.2">
      <c r="A1633" s="49" t="str">
        <f t="shared" si="25"/>
        <v/>
      </c>
    </row>
    <row r="1634" spans="1:1" x14ac:dyDescent="0.2">
      <c r="A1634" s="49" t="str">
        <f t="shared" si="25"/>
        <v/>
      </c>
    </row>
    <row r="1635" spans="1:1" x14ac:dyDescent="0.2">
      <c r="A1635" s="49" t="str">
        <f t="shared" si="25"/>
        <v/>
      </c>
    </row>
    <row r="1636" spans="1:1" x14ac:dyDescent="0.2">
      <c r="A1636" s="49" t="str">
        <f t="shared" si="25"/>
        <v/>
      </c>
    </row>
    <row r="1637" spans="1:1" x14ac:dyDescent="0.2">
      <c r="A1637" s="49" t="str">
        <f t="shared" si="25"/>
        <v/>
      </c>
    </row>
    <row r="1638" spans="1:1" x14ac:dyDescent="0.2">
      <c r="A1638" s="49" t="str">
        <f t="shared" si="25"/>
        <v/>
      </c>
    </row>
    <row r="1639" spans="1:1" x14ac:dyDescent="0.2">
      <c r="A1639" s="49" t="str">
        <f t="shared" si="25"/>
        <v/>
      </c>
    </row>
    <row r="1640" spans="1:1" x14ac:dyDescent="0.2">
      <c r="A1640" s="49" t="str">
        <f t="shared" si="25"/>
        <v/>
      </c>
    </row>
    <row r="1641" spans="1:1" x14ac:dyDescent="0.2">
      <c r="A1641" s="49" t="str">
        <f t="shared" si="25"/>
        <v/>
      </c>
    </row>
    <row r="1642" spans="1:1" x14ac:dyDescent="0.2">
      <c r="A1642" s="49" t="str">
        <f t="shared" si="25"/>
        <v/>
      </c>
    </row>
    <row r="1643" spans="1:1" x14ac:dyDescent="0.2">
      <c r="A1643" s="49" t="str">
        <f t="shared" si="25"/>
        <v/>
      </c>
    </row>
    <row r="1644" spans="1:1" x14ac:dyDescent="0.2">
      <c r="A1644" s="49" t="str">
        <f t="shared" si="25"/>
        <v/>
      </c>
    </row>
    <row r="1645" spans="1:1" x14ac:dyDescent="0.2">
      <c r="A1645" s="49" t="str">
        <f t="shared" si="25"/>
        <v/>
      </c>
    </row>
    <row r="1646" spans="1:1" x14ac:dyDescent="0.2">
      <c r="A1646" s="49" t="str">
        <f t="shared" si="25"/>
        <v/>
      </c>
    </row>
    <row r="1647" spans="1:1" x14ac:dyDescent="0.2">
      <c r="A1647" s="49" t="str">
        <f t="shared" si="25"/>
        <v/>
      </c>
    </row>
    <row r="1648" spans="1:1" x14ac:dyDescent="0.2">
      <c r="A1648" s="49" t="str">
        <f t="shared" si="25"/>
        <v/>
      </c>
    </row>
    <row r="1649" spans="1:1" x14ac:dyDescent="0.2">
      <c r="A1649" s="49" t="str">
        <f t="shared" si="25"/>
        <v/>
      </c>
    </row>
    <row r="1650" spans="1:1" x14ac:dyDescent="0.2">
      <c r="A1650" s="49" t="str">
        <f t="shared" si="25"/>
        <v/>
      </c>
    </row>
    <row r="1651" spans="1:1" x14ac:dyDescent="0.2">
      <c r="A1651" s="49" t="str">
        <f t="shared" si="25"/>
        <v/>
      </c>
    </row>
    <row r="1652" spans="1:1" x14ac:dyDescent="0.2">
      <c r="A1652" s="49" t="str">
        <f t="shared" si="25"/>
        <v/>
      </c>
    </row>
    <row r="1653" spans="1:1" x14ac:dyDescent="0.2">
      <c r="A1653" s="49" t="str">
        <f t="shared" si="25"/>
        <v/>
      </c>
    </row>
    <row r="1654" spans="1:1" x14ac:dyDescent="0.2">
      <c r="A1654" s="49" t="str">
        <f t="shared" si="25"/>
        <v/>
      </c>
    </row>
    <row r="1655" spans="1:1" x14ac:dyDescent="0.2">
      <c r="A1655" s="49" t="str">
        <f t="shared" si="25"/>
        <v/>
      </c>
    </row>
    <row r="1656" spans="1:1" x14ac:dyDescent="0.2">
      <c r="A1656" s="49" t="str">
        <f t="shared" si="25"/>
        <v/>
      </c>
    </row>
    <row r="1657" spans="1:1" x14ac:dyDescent="0.2">
      <c r="A1657" s="49" t="str">
        <f t="shared" si="25"/>
        <v/>
      </c>
    </row>
    <row r="1658" spans="1:1" x14ac:dyDescent="0.2">
      <c r="A1658" s="49" t="str">
        <f t="shared" si="25"/>
        <v/>
      </c>
    </row>
    <row r="1659" spans="1:1" x14ac:dyDescent="0.2">
      <c r="A1659" s="49" t="str">
        <f t="shared" si="25"/>
        <v/>
      </c>
    </row>
    <row r="1660" spans="1:1" x14ac:dyDescent="0.2">
      <c r="A1660" s="49" t="str">
        <f t="shared" si="25"/>
        <v/>
      </c>
    </row>
    <row r="1661" spans="1:1" x14ac:dyDescent="0.2">
      <c r="A1661" s="49" t="str">
        <f t="shared" si="25"/>
        <v/>
      </c>
    </row>
    <row r="1662" spans="1:1" x14ac:dyDescent="0.2">
      <c r="A1662" s="49" t="str">
        <f t="shared" si="25"/>
        <v/>
      </c>
    </row>
    <row r="1663" spans="1:1" x14ac:dyDescent="0.2">
      <c r="A1663" s="49" t="str">
        <f t="shared" si="25"/>
        <v/>
      </c>
    </row>
    <row r="1664" spans="1:1" x14ac:dyDescent="0.2">
      <c r="A1664" s="49" t="str">
        <f t="shared" si="25"/>
        <v/>
      </c>
    </row>
    <row r="1665" spans="1:1" x14ac:dyDescent="0.2">
      <c r="A1665" s="49" t="str">
        <f t="shared" si="25"/>
        <v/>
      </c>
    </row>
    <row r="1666" spans="1:1" x14ac:dyDescent="0.2">
      <c r="A1666" s="49" t="str">
        <f t="shared" si="25"/>
        <v/>
      </c>
    </row>
    <row r="1667" spans="1:1" x14ac:dyDescent="0.2">
      <c r="A1667" s="49" t="str">
        <f t="shared" si="25"/>
        <v/>
      </c>
    </row>
    <row r="1668" spans="1:1" x14ac:dyDescent="0.2">
      <c r="A1668" s="49" t="str">
        <f t="shared" ref="A1668:A1731" si="26">IF(AND(B1667&lt;&gt;"",B1668=""),$A$2&amp;"---&gt;","")</f>
        <v/>
      </c>
    </row>
    <row r="1669" spans="1:1" x14ac:dyDescent="0.2">
      <c r="A1669" s="49" t="str">
        <f t="shared" si="26"/>
        <v/>
      </c>
    </row>
    <row r="1670" spans="1:1" x14ac:dyDescent="0.2">
      <c r="A1670" s="49" t="str">
        <f t="shared" si="26"/>
        <v/>
      </c>
    </row>
    <row r="1671" spans="1:1" x14ac:dyDescent="0.2">
      <c r="A1671" s="49" t="str">
        <f t="shared" si="26"/>
        <v/>
      </c>
    </row>
    <row r="1672" spans="1:1" x14ac:dyDescent="0.2">
      <c r="A1672" s="49" t="str">
        <f t="shared" si="26"/>
        <v/>
      </c>
    </row>
    <row r="1673" spans="1:1" x14ac:dyDescent="0.2">
      <c r="A1673" s="49" t="str">
        <f t="shared" si="26"/>
        <v/>
      </c>
    </row>
    <row r="1674" spans="1:1" x14ac:dyDescent="0.2">
      <c r="A1674" s="49" t="str">
        <f t="shared" si="26"/>
        <v/>
      </c>
    </row>
    <row r="1675" spans="1:1" x14ac:dyDescent="0.2">
      <c r="A1675" s="49" t="str">
        <f t="shared" si="26"/>
        <v/>
      </c>
    </row>
    <row r="1676" spans="1:1" x14ac:dyDescent="0.2">
      <c r="A1676" s="49" t="str">
        <f t="shared" si="26"/>
        <v/>
      </c>
    </row>
    <row r="1677" spans="1:1" x14ac:dyDescent="0.2">
      <c r="A1677" s="49" t="str">
        <f t="shared" si="26"/>
        <v/>
      </c>
    </row>
    <row r="1678" spans="1:1" x14ac:dyDescent="0.2">
      <c r="A1678" s="49" t="str">
        <f t="shared" si="26"/>
        <v/>
      </c>
    </row>
    <row r="1679" spans="1:1" x14ac:dyDescent="0.2">
      <c r="A1679" s="49" t="str">
        <f t="shared" si="26"/>
        <v/>
      </c>
    </row>
    <row r="1680" spans="1:1" x14ac:dyDescent="0.2">
      <c r="A1680" s="49" t="str">
        <f t="shared" si="26"/>
        <v/>
      </c>
    </row>
    <row r="1681" spans="1:1" x14ac:dyDescent="0.2">
      <c r="A1681" s="49" t="str">
        <f t="shared" si="26"/>
        <v/>
      </c>
    </row>
    <row r="1682" spans="1:1" x14ac:dyDescent="0.2">
      <c r="A1682" s="49" t="str">
        <f t="shared" si="26"/>
        <v/>
      </c>
    </row>
    <row r="1683" spans="1:1" x14ac:dyDescent="0.2">
      <c r="A1683" s="49" t="str">
        <f t="shared" si="26"/>
        <v/>
      </c>
    </row>
    <row r="1684" spans="1:1" x14ac:dyDescent="0.2">
      <c r="A1684" s="49" t="str">
        <f t="shared" si="26"/>
        <v/>
      </c>
    </row>
    <row r="1685" spans="1:1" x14ac:dyDescent="0.2">
      <c r="A1685" s="49" t="str">
        <f t="shared" si="26"/>
        <v/>
      </c>
    </row>
    <row r="1686" spans="1:1" x14ac:dyDescent="0.2">
      <c r="A1686" s="49" t="str">
        <f t="shared" si="26"/>
        <v/>
      </c>
    </row>
    <row r="1687" spans="1:1" x14ac:dyDescent="0.2">
      <c r="A1687" s="49" t="str">
        <f t="shared" si="26"/>
        <v/>
      </c>
    </row>
    <row r="1688" spans="1:1" x14ac:dyDescent="0.2">
      <c r="A1688" s="49" t="str">
        <f t="shared" si="26"/>
        <v/>
      </c>
    </row>
    <row r="1689" spans="1:1" x14ac:dyDescent="0.2">
      <c r="A1689" s="49" t="str">
        <f t="shared" si="26"/>
        <v/>
      </c>
    </row>
    <row r="1690" spans="1:1" x14ac:dyDescent="0.2">
      <c r="A1690" s="49" t="str">
        <f t="shared" si="26"/>
        <v/>
      </c>
    </row>
    <row r="1691" spans="1:1" x14ac:dyDescent="0.2">
      <c r="A1691" s="49" t="str">
        <f t="shared" si="26"/>
        <v/>
      </c>
    </row>
    <row r="1692" spans="1:1" x14ac:dyDescent="0.2">
      <c r="A1692" s="49" t="str">
        <f t="shared" si="26"/>
        <v/>
      </c>
    </row>
    <row r="1693" spans="1:1" x14ac:dyDescent="0.2">
      <c r="A1693" s="49" t="str">
        <f t="shared" si="26"/>
        <v/>
      </c>
    </row>
    <row r="1694" spans="1:1" x14ac:dyDescent="0.2">
      <c r="A1694" s="49" t="str">
        <f t="shared" si="26"/>
        <v/>
      </c>
    </row>
    <row r="1695" spans="1:1" x14ac:dyDescent="0.2">
      <c r="A1695" s="49" t="str">
        <f t="shared" si="26"/>
        <v/>
      </c>
    </row>
    <row r="1696" spans="1:1" x14ac:dyDescent="0.2">
      <c r="A1696" s="49" t="str">
        <f t="shared" si="26"/>
        <v/>
      </c>
    </row>
    <row r="1697" spans="1:1" x14ac:dyDescent="0.2">
      <c r="A1697" s="49" t="str">
        <f t="shared" si="26"/>
        <v/>
      </c>
    </row>
    <row r="1698" spans="1:1" x14ac:dyDescent="0.2">
      <c r="A1698" s="49" t="str">
        <f t="shared" si="26"/>
        <v/>
      </c>
    </row>
    <row r="1699" spans="1:1" x14ac:dyDescent="0.2">
      <c r="A1699" s="49" t="str">
        <f t="shared" si="26"/>
        <v/>
      </c>
    </row>
    <row r="1700" spans="1:1" x14ac:dyDescent="0.2">
      <c r="A1700" s="49" t="str">
        <f t="shared" si="26"/>
        <v/>
      </c>
    </row>
    <row r="1701" spans="1:1" x14ac:dyDescent="0.2">
      <c r="A1701" s="49" t="str">
        <f t="shared" si="26"/>
        <v/>
      </c>
    </row>
    <row r="1702" spans="1:1" x14ac:dyDescent="0.2">
      <c r="A1702" s="49" t="str">
        <f t="shared" si="26"/>
        <v/>
      </c>
    </row>
    <row r="1703" spans="1:1" x14ac:dyDescent="0.2">
      <c r="A1703" s="49" t="str">
        <f t="shared" si="26"/>
        <v/>
      </c>
    </row>
    <row r="1704" spans="1:1" x14ac:dyDescent="0.2">
      <c r="A1704" s="49" t="str">
        <f t="shared" si="26"/>
        <v/>
      </c>
    </row>
    <row r="1705" spans="1:1" x14ac:dyDescent="0.2">
      <c r="A1705" s="49" t="str">
        <f t="shared" si="26"/>
        <v/>
      </c>
    </row>
    <row r="1706" spans="1:1" x14ac:dyDescent="0.2">
      <c r="A1706" s="49" t="str">
        <f t="shared" si="26"/>
        <v/>
      </c>
    </row>
    <row r="1707" spans="1:1" x14ac:dyDescent="0.2">
      <c r="A1707" s="49" t="str">
        <f t="shared" si="26"/>
        <v/>
      </c>
    </row>
    <row r="1708" spans="1:1" x14ac:dyDescent="0.2">
      <c r="A1708" s="49" t="str">
        <f t="shared" si="26"/>
        <v/>
      </c>
    </row>
    <row r="1709" spans="1:1" x14ac:dyDescent="0.2">
      <c r="A1709" s="49" t="str">
        <f t="shared" si="26"/>
        <v/>
      </c>
    </row>
    <row r="1710" spans="1:1" x14ac:dyDescent="0.2">
      <c r="A1710" s="49" t="str">
        <f t="shared" si="26"/>
        <v/>
      </c>
    </row>
    <row r="1711" spans="1:1" x14ac:dyDescent="0.2">
      <c r="A1711" s="49" t="str">
        <f t="shared" si="26"/>
        <v/>
      </c>
    </row>
    <row r="1712" spans="1:1" x14ac:dyDescent="0.2">
      <c r="A1712" s="49" t="str">
        <f t="shared" si="26"/>
        <v/>
      </c>
    </row>
    <row r="1713" spans="1:1" x14ac:dyDescent="0.2">
      <c r="A1713" s="49" t="str">
        <f t="shared" si="26"/>
        <v/>
      </c>
    </row>
    <row r="1714" spans="1:1" x14ac:dyDescent="0.2">
      <c r="A1714" s="49" t="str">
        <f t="shared" si="26"/>
        <v/>
      </c>
    </row>
    <row r="1715" spans="1:1" x14ac:dyDescent="0.2">
      <c r="A1715" s="49" t="str">
        <f t="shared" si="26"/>
        <v/>
      </c>
    </row>
    <row r="1716" spans="1:1" x14ac:dyDescent="0.2">
      <c r="A1716" s="49" t="str">
        <f t="shared" si="26"/>
        <v/>
      </c>
    </row>
    <row r="1717" spans="1:1" x14ac:dyDescent="0.2">
      <c r="A1717" s="49" t="str">
        <f t="shared" si="26"/>
        <v/>
      </c>
    </row>
    <row r="1718" spans="1:1" x14ac:dyDescent="0.2">
      <c r="A1718" s="49" t="str">
        <f t="shared" si="26"/>
        <v/>
      </c>
    </row>
    <row r="1719" spans="1:1" x14ac:dyDescent="0.2">
      <c r="A1719" s="49" t="str">
        <f t="shared" si="26"/>
        <v/>
      </c>
    </row>
    <row r="1720" spans="1:1" x14ac:dyDescent="0.2">
      <c r="A1720" s="49" t="str">
        <f t="shared" si="26"/>
        <v/>
      </c>
    </row>
    <row r="1721" spans="1:1" x14ac:dyDescent="0.2">
      <c r="A1721" s="49" t="str">
        <f t="shared" si="26"/>
        <v/>
      </c>
    </row>
    <row r="1722" spans="1:1" x14ac:dyDescent="0.2">
      <c r="A1722" s="49" t="str">
        <f t="shared" si="26"/>
        <v/>
      </c>
    </row>
    <row r="1723" spans="1:1" x14ac:dyDescent="0.2">
      <c r="A1723" s="49" t="str">
        <f t="shared" si="26"/>
        <v/>
      </c>
    </row>
    <row r="1724" spans="1:1" x14ac:dyDescent="0.2">
      <c r="A1724" s="49" t="str">
        <f t="shared" si="26"/>
        <v/>
      </c>
    </row>
    <row r="1725" spans="1:1" x14ac:dyDescent="0.2">
      <c r="A1725" s="49" t="str">
        <f t="shared" si="26"/>
        <v/>
      </c>
    </row>
    <row r="1726" spans="1:1" x14ac:dyDescent="0.2">
      <c r="A1726" s="49" t="str">
        <f t="shared" si="26"/>
        <v/>
      </c>
    </row>
    <row r="1727" spans="1:1" x14ac:dyDescent="0.2">
      <c r="A1727" s="49" t="str">
        <f t="shared" si="26"/>
        <v/>
      </c>
    </row>
    <row r="1728" spans="1:1" x14ac:dyDescent="0.2">
      <c r="A1728" s="49" t="str">
        <f t="shared" si="26"/>
        <v/>
      </c>
    </row>
    <row r="1729" spans="1:1" x14ac:dyDescent="0.2">
      <c r="A1729" s="49" t="str">
        <f t="shared" si="26"/>
        <v/>
      </c>
    </row>
    <row r="1730" spans="1:1" x14ac:dyDescent="0.2">
      <c r="A1730" s="49" t="str">
        <f t="shared" si="26"/>
        <v/>
      </c>
    </row>
    <row r="1731" spans="1:1" x14ac:dyDescent="0.2">
      <c r="A1731" s="49" t="str">
        <f t="shared" si="26"/>
        <v/>
      </c>
    </row>
    <row r="1732" spans="1:1" x14ac:dyDescent="0.2">
      <c r="A1732" s="49" t="str">
        <f t="shared" ref="A1732:A1795" si="27">IF(AND(B1731&lt;&gt;"",B1732=""),$A$2&amp;"---&gt;","")</f>
        <v/>
      </c>
    </row>
    <row r="1733" spans="1:1" x14ac:dyDescent="0.2">
      <c r="A1733" s="49" t="str">
        <f t="shared" si="27"/>
        <v/>
      </c>
    </row>
    <row r="1734" spans="1:1" x14ac:dyDescent="0.2">
      <c r="A1734" s="49" t="str">
        <f t="shared" si="27"/>
        <v/>
      </c>
    </row>
    <row r="1735" spans="1:1" x14ac:dyDescent="0.2">
      <c r="A1735" s="49" t="str">
        <f t="shared" si="27"/>
        <v/>
      </c>
    </row>
    <row r="1736" spans="1:1" x14ac:dyDescent="0.2">
      <c r="A1736" s="49" t="str">
        <f t="shared" si="27"/>
        <v/>
      </c>
    </row>
    <row r="1737" spans="1:1" x14ac:dyDescent="0.2">
      <c r="A1737" s="49" t="str">
        <f t="shared" si="27"/>
        <v/>
      </c>
    </row>
    <row r="1738" spans="1:1" x14ac:dyDescent="0.2">
      <c r="A1738" s="49" t="str">
        <f t="shared" si="27"/>
        <v/>
      </c>
    </row>
    <row r="1739" spans="1:1" x14ac:dyDescent="0.2">
      <c r="A1739" s="49" t="str">
        <f t="shared" si="27"/>
        <v/>
      </c>
    </row>
    <row r="1740" spans="1:1" x14ac:dyDescent="0.2">
      <c r="A1740" s="49" t="str">
        <f t="shared" si="27"/>
        <v/>
      </c>
    </row>
    <row r="1741" spans="1:1" x14ac:dyDescent="0.2">
      <c r="A1741" s="49" t="str">
        <f t="shared" si="27"/>
        <v/>
      </c>
    </row>
    <row r="1742" spans="1:1" x14ac:dyDescent="0.2">
      <c r="A1742" s="49" t="str">
        <f t="shared" si="27"/>
        <v/>
      </c>
    </row>
    <row r="1743" spans="1:1" x14ac:dyDescent="0.2">
      <c r="A1743" s="49" t="str">
        <f t="shared" si="27"/>
        <v/>
      </c>
    </row>
    <row r="1744" spans="1:1" x14ac:dyDescent="0.2">
      <c r="A1744" s="49" t="str">
        <f t="shared" si="27"/>
        <v/>
      </c>
    </row>
    <row r="1745" spans="1:1" x14ac:dyDescent="0.2">
      <c r="A1745" s="49" t="str">
        <f t="shared" si="27"/>
        <v/>
      </c>
    </row>
    <row r="1746" spans="1:1" x14ac:dyDescent="0.2">
      <c r="A1746" s="49" t="str">
        <f t="shared" si="27"/>
        <v/>
      </c>
    </row>
    <row r="1747" spans="1:1" x14ac:dyDescent="0.2">
      <c r="A1747" s="49" t="str">
        <f t="shared" si="27"/>
        <v/>
      </c>
    </row>
    <row r="1748" spans="1:1" x14ac:dyDescent="0.2">
      <c r="A1748" s="49" t="str">
        <f t="shared" si="27"/>
        <v/>
      </c>
    </row>
    <row r="1749" spans="1:1" x14ac:dyDescent="0.2">
      <c r="A1749" s="49" t="str">
        <f t="shared" si="27"/>
        <v/>
      </c>
    </row>
    <row r="1750" spans="1:1" x14ac:dyDescent="0.2">
      <c r="A1750" s="49" t="str">
        <f t="shared" si="27"/>
        <v/>
      </c>
    </row>
    <row r="1751" spans="1:1" x14ac:dyDescent="0.2">
      <c r="A1751" s="49" t="str">
        <f t="shared" si="27"/>
        <v/>
      </c>
    </row>
    <row r="1752" spans="1:1" x14ac:dyDescent="0.2">
      <c r="A1752" s="49" t="str">
        <f t="shared" si="27"/>
        <v/>
      </c>
    </row>
    <row r="1753" spans="1:1" x14ac:dyDescent="0.2">
      <c r="A1753" s="49" t="str">
        <f t="shared" si="27"/>
        <v/>
      </c>
    </row>
    <row r="1754" spans="1:1" x14ac:dyDescent="0.2">
      <c r="A1754" s="49" t="str">
        <f t="shared" si="27"/>
        <v/>
      </c>
    </row>
    <row r="1755" spans="1:1" x14ac:dyDescent="0.2">
      <c r="A1755" s="49" t="str">
        <f t="shared" si="27"/>
        <v/>
      </c>
    </row>
    <row r="1756" spans="1:1" x14ac:dyDescent="0.2">
      <c r="A1756" s="49" t="str">
        <f t="shared" si="27"/>
        <v/>
      </c>
    </row>
    <row r="1757" spans="1:1" x14ac:dyDescent="0.2">
      <c r="A1757" s="49" t="str">
        <f t="shared" si="27"/>
        <v/>
      </c>
    </row>
    <row r="1758" spans="1:1" x14ac:dyDescent="0.2">
      <c r="A1758" s="49" t="str">
        <f t="shared" si="27"/>
        <v/>
      </c>
    </row>
    <row r="1759" spans="1:1" x14ac:dyDescent="0.2">
      <c r="A1759" s="49" t="str">
        <f t="shared" si="27"/>
        <v/>
      </c>
    </row>
    <row r="1760" spans="1:1" x14ac:dyDescent="0.2">
      <c r="A1760" s="49" t="str">
        <f t="shared" si="27"/>
        <v/>
      </c>
    </row>
    <row r="1761" spans="1:1" x14ac:dyDescent="0.2">
      <c r="A1761" s="49" t="str">
        <f t="shared" si="27"/>
        <v/>
      </c>
    </row>
    <row r="1762" spans="1:1" x14ac:dyDescent="0.2">
      <c r="A1762" s="49" t="str">
        <f t="shared" si="27"/>
        <v/>
      </c>
    </row>
    <row r="1763" spans="1:1" x14ac:dyDescent="0.2">
      <c r="A1763" s="49" t="str">
        <f t="shared" si="27"/>
        <v/>
      </c>
    </row>
    <row r="1764" spans="1:1" x14ac:dyDescent="0.2">
      <c r="A1764" s="49" t="str">
        <f t="shared" si="27"/>
        <v/>
      </c>
    </row>
    <row r="1765" spans="1:1" x14ac:dyDescent="0.2">
      <c r="A1765" s="49" t="str">
        <f t="shared" si="27"/>
        <v/>
      </c>
    </row>
    <row r="1766" spans="1:1" x14ac:dyDescent="0.2">
      <c r="A1766" s="49" t="str">
        <f t="shared" si="27"/>
        <v/>
      </c>
    </row>
    <row r="1767" spans="1:1" x14ac:dyDescent="0.2">
      <c r="A1767" s="49" t="str">
        <f t="shared" si="27"/>
        <v/>
      </c>
    </row>
    <row r="1768" spans="1:1" x14ac:dyDescent="0.2">
      <c r="A1768" s="49" t="str">
        <f t="shared" si="27"/>
        <v/>
      </c>
    </row>
    <row r="1769" spans="1:1" x14ac:dyDescent="0.2">
      <c r="A1769" s="49" t="str">
        <f t="shared" si="27"/>
        <v/>
      </c>
    </row>
    <row r="1770" spans="1:1" x14ac:dyDescent="0.2">
      <c r="A1770" s="49" t="str">
        <f t="shared" si="27"/>
        <v/>
      </c>
    </row>
    <row r="1771" spans="1:1" x14ac:dyDescent="0.2">
      <c r="A1771" s="49" t="str">
        <f t="shared" si="27"/>
        <v/>
      </c>
    </row>
    <row r="1772" spans="1:1" x14ac:dyDescent="0.2">
      <c r="A1772" s="49" t="str">
        <f t="shared" si="27"/>
        <v/>
      </c>
    </row>
    <row r="1773" spans="1:1" x14ac:dyDescent="0.2">
      <c r="A1773" s="49" t="str">
        <f t="shared" si="27"/>
        <v/>
      </c>
    </row>
    <row r="1774" spans="1:1" x14ac:dyDescent="0.2">
      <c r="A1774" s="49" t="str">
        <f t="shared" si="27"/>
        <v/>
      </c>
    </row>
    <row r="1775" spans="1:1" x14ac:dyDescent="0.2">
      <c r="A1775" s="49" t="str">
        <f t="shared" si="27"/>
        <v/>
      </c>
    </row>
    <row r="1776" spans="1:1" x14ac:dyDescent="0.2">
      <c r="A1776" s="49" t="str">
        <f t="shared" si="27"/>
        <v/>
      </c>
    </row>
    <row r="1777" spans="1:1" x14ac:dyDescent="0.2">
      <c r="A1777" s="49" t="str">
        <f t="shared" si="27"/>
        <v/>
      </c>
    </row>
    <row r="1778" spans="1:1" x14ac:dyDescent="0.2">
      <c r="A1778" s="49" t="str">
        <f t="shared" si="27"/>
        <v/>
      </c>
    </row>
    <row r="1779" spans="1:1" x14ac:dyDescent="0.2">
      <c r="A1779" s="49" t="str">
        <f t="shared" si="27"/>
        <v/>
      </c>
    </row>
    <row r="1780" spans="1:1" x14ac:dyDescent="0.2">
      <c r="A1780" s="49" t="str">
        <f t="shared" si="27"/>
        <v/>
      </c>
    </row>
    <row r="1781" spans="1:1" x14ac:dyDescent="0.2">
      <c r="A1781" s="49" t="str">
        <f t="shared" si="27"/>
        <v/>
      </c>
    </row>
    <row r="1782" spans="1:1" x14ac:dyDescent="0.2">
      <c r="A1782" s="49" t="str">
        <f t="shared" si="27"/>
        <v/>
      </c>
    </row>
    <row r="1783" spans="1:1" x14ac:dyDescent="0.2">
      <c r="A1783" s="49" t="str">
        <f t="shared" si="27"/>
        <v/>
      </c>
    </row>
    <row r="1784" spans="1:1" x14ac:dyDescent="0.2">
      <c r="A1784" s="49" t="str">
        <f t="shared" si="27"/>
        <v/>
      </c>
    </row>
    <row r="1785" spans="1:1" x14ac:dyDescent="0.2">
      <c r="A1785" s="49" t="str">
        <f t="shared" si="27"/>
        <v/>
      </c>
    </row>
    <row r="1786" spans="1:1" x14ac:dyDescent="0.2">
      <c r="A1786" s="49" t="str">
        <f t="shared" si="27"/>
        <v/>
      </c>
    </row>
    <row r="1787" spans="1:1" x14ac:dyDescent="0.2">
      <c r="A1787" s="49" t="str">
        <f t="shared" si="27"/>
        <v/>
      </c>
    </row>
    <row r="1788" spans="1:1" x14ac:dyDescent="0.2">
      <c r="A1788" s="49" t="str">
        <f t="shared" si="27"/>
        <v/>
      </c>
    </row>
    <row r="1789" spans="1:1" x14ac:dyDescent="0.2">
      <c r="A1789" s="49" t="str">
        <f t="shared" si="27"/>
        <v/>
      </c>
    </row>
    <row r="1790" spans="1:1" x14ac:dyDescent="0.2">
      <c r="A1790" s="49" t="str">
        <f t="shared" si="27"/>
        <v/>
      </c>
    </row>
    <row r="1791" spans="1:1" x14ac:dyDescent="0.2">
      <c r="A1791" s="49" t="str">
        <f t="shared" si="27"/>
        <v/>
      </c>
    </row>
    <row r="1792" spans="1:1" x14ac:dyDescent="0.2">
      <c r="A1792" s="49" t="str">
        <f t="shared" si="27"/>
        <v/>
      </c>
    </row>
    <row r="1793" spans="1:1" x14ac:dyDescent="0.2">
      <c r="A1793" s="49" t="str">
        <f t="shared" si="27"/>
        <v/>
      </c>
    </row>
    <row r="1794" spans="1:1" x14ac:dyDescent="0.2">
      <c r="A1794" s="49" t="str">
        <f t="shared" si="27"/>
        <v/>
      </c>
    </row>
    <row r="1795" spans="1:1" x14ac:dyDescent="0.2">
      <c r="A1795" s="49" t="str">
        <f t="shared" si="27"/>
        <v/>
      </c>
    </row>
    <row r="1796" spans="1:1" x14ac:dyDescent="0.2">
      <c r="A1796" s="49" t="str">
        <f t="shared" ref="A1796:A1859" si="28">IF(AND(B1795&lt;&gt;"",B1796=""),$A$2&amp;"---&gt;","")</f>
        <v/>
      </c>
    </row>
    <row r="1797" spans="1:1" x14ac:dyDescent="0.2">
      <c r="A1797" s="49" t="str">
        <f t="shared" si="28"/>
        <v/>
      </c>
    </row>
    <row r="1798" spans="1:1" x14ac:dyDescent="0.2">
      <c r="A1798" s="49" t="str">
        <f t="shared" si="28"/>
        <v/>
      </c>
    </row>
    <row r="1799" spans="1:1" x14ac:dyDescent="0.2">
      <c r="A1799" s="49" t="str">
        <f t="shared" si="28"/>
        <v/>
      </c>
    </row>
    <row r="1800" spans="1:1" x14ac:dyDescent="0.2">
      <c r="A1800" s="49" t="str">
        <f t="shared" si="28"/>
        <v/>
      </c>
    </row>
    <row r="1801" spans="1:1" x14ac:dyDescent="0.2">
      <c r="A1801" s="49" t="str">
        <f t="shared" si="28"/>
        <v/>
      </c>
    </row>
    <row r="1802" spans="1:1" x14ac:dyDescent="0.2">
      <c r="A1802" s="49" t="str">
        <f t="shared" si="28"/>
        <v/>
      </c>
    </row>
    <row r="1803" spans="1:1" x14ac:dyDescent="0.2">
      <c r="A1803" s="49" t="str">
        <f t="shared" si="28"/>
        <v/>
      </c>
    </row>
    <row r="1804" spans="1:1" x14ac:dyDescent="0.2">
      <c r="A1804" s="49" t="str">
        <f t="shared" si="28"/>
        <v/>
      </c>
    </row>
    <row r="1805" spans="1:1" x14ac:dyDescent="0.2">
      <c r="A1805" s="49" t="str">
        <f t="shared" si="28"/>
        <v/>
      </c>
    </row>
    <row r="1806" spans="1:1" x14ac:dyDescent="0.2">
      <c r="A1806" s="49" t="str">
        <f t="shared" si="28"/>
        <v/>
      </c>
    </row>
    <row r="1807" spans="1:1" x14ac:dyDescent="0.2">
      <c r="A1807" s="49" t="str">
        <f t="shared" si="28"/>
        <v/>
      </c>
    </row>
    <row r="1808" spans="1:1" x14ac:dyDescent="0.2">
      <c r="A1808" s="49" t="str">
        <f t="shared" si="28"/>
        <v/>
      </c>
    </row>
    <row r="1809" spans="1:1" x14ac:dyDescent="0.2">
      <c r="A1809" s="49" t="str">
        <f t="shared" si="28"/>
        <v/>
      </c>
    </row>
    <row r="1810" spans="1:1" x14ac:dyDescent="0.2">
      <c r="A1810" s="49" t="str">
        <f t="shared" si="28"/>
        <v/>
      </c>
    </row>
    <row r="1811" spans="1:1" x14ac:dyDescent="0.2">
      <c r="A1811" s="49" t="str">
        <f t="shared" si="28"/>
        <v/>
      </c>
    </row>
    <row r="1812" spans="1:1" x14ac:dyDescent="0.2">
      <c r="A1812" s="49" t="str">
        <f t="shared" si="28"/>
        <v/>
      </c>
    </row>
    <row r="1813" spans="1:1" x14ac:dyDescent="0.2">
      <c r="A1813" s="49" t="str">
        <f t="shared" si="28"/>
        <v/>
      </c>
    </row>
    <row r="1814" spans="1:1" x14ac:dyDescent="0.2">
      <c r="A1814" s="49" t="str">
        <f t="shared" si="28"/>
        <v/>
      </c>
    </row>
    <row r="1815" spans="1:1" x14ac:dyDescent="0.2">
      <c r="A1815" s="49" t="str">
        <f t="shared" si="28"/>
        <v/>
      </c>
    </row>
    <row r="1816" spans="1:1" x14ac:dyDescent="0.2">
      <c r="A1816" s="49" t="str">
        <f t="shared" si="28"/>
        <v/>
      </c>
    </row>
    <row r="1817" spans="1:1" x14ac:dyDescent="0.2">
      <c r="A1817" s="49" t="str">
        <f t="shared" si="28"/>
        <v/>
      </c>
    </row>
    <row r="1818" spans="1:1" x14ac:dyDescent="0.2">
      <c r="A1818" s="49" t="str">
        <f t="shared" si="28"/>
        <v/>
      </c>
    </row>
    <row r="1819" spans="1:1" x14ac:dyDescent="0.2">
      <c r="A1819" s="49" t="str">
        <f t="shared" si="28"/>
        <v/>
      </c>
    </row>
    <row r="1820" spans="1:1" x14ac:dyDescent="0.2">
      <c r="A1820" s="49" t="str">
        <f t="shared" si="28"/>
        <v/>
      </c>
    </row>
    <row r="1821" spans="1:1" x14ac:dyDescent="0.2">
      <c r="A1821" s="49" t="str">
        <f t="shared" si="28"/>
        <v/>
      </c>
    </row>
    <row r="1822" spans="1:1" x14ac:dyDescent="0.2">
      <c r="A1822" s="49" t="str">
        <f t="shared" si="28"/>
        <v/>
      </c>
    </row>
    <row r="1823" spans="1:1" x14ac:dyDescent="0.2">
      <c r="A1823" s="49" t="str">
        <f t="shared" si="28"/>
        <v/>
      </c>
    </row>
    <row r="1824" spans="1:1" x14ac:dyDescent="0.2">
      <c r="A1824" s="49" t="str">
        <f t="shared" si="28"/>
        <v/>
      </c>
    </row>
    <row r="1825" spans="1:1" x14ac:dyDescent="0.2">
      <c r="A1825" s="49" t="str">
        <f t="shared" si="28"/>
        <v/>
      </c>
    </row>
    <row r="1826" spans="1:1" x14ac:dyDescent="0.2">
      <c r="A1826" s="49" t="str">
        <f t="shared" si="28"/>
        <v/>
      </c>
    </row>
    <row r="1827" spans="1:1" x14ac:dyDescent="0.2">
      <c r="A1827" s="49" t="str">
        <f t="shared" si="28"/>
        <v/>
      </c>
    </row>
    <row r="1828" spans="1:1" x14ac:dyDescent="0.2">
      <c r="A1828" s="49" t="str">
        <f t="shared" si="28"/>
        <v/>
      </c>
    </row>
    <row r="1829" spans="1:1" x14ac:dyDescent="0.2">
      <c r="A1829" s="49" t="str">
        <f t="shared" si="28"/>
        <v/>
      </c>
    </row>
    <row r="1830" spans="1:1" x14ac:dyDescent="0.2">
      <c r="A1830" s="49" t="str">
        <f t="shared" si="28"/>
        <v/>
      </c>
    </row>
    <row r="1831" spans="1:1" x14ac:dyDescent="0.2">
      <c r="A1831" s="49" t="str">
        <f t="shared" si="28"/>
        <v/>
      </c>
    </row>
    <row r="1832" spans="1:1" x14ac:dyDescent="0.2">
      <c r="A1832" s="49" t="str">
        <f t="shared" si="28"/>
        <v/>
      </c>
    </row>
    <row r="1833" spans="1:1" x14ac:dyDescent="0.2">
      <c r="A1833" s="49" t="str">
        <f t="shared" si="28"/>
        <v/>
      </c>
    </row>
    <row r="1834" spans="1:1" x14ac:dyDescent="0.2">
      <c r="A1834" s="49" t="str">
        <f t="shared" si="28"/>
        <v/>
      </c>
    </row>
    <row r="1835" spans="1:1" x14ac:dyDescent="0.2">
      <c r="A1835" s="49" t="str">
        <f t="shared" si="28"/>
        <v/>
      </c>
    </row>
    <row r="1836" spans="1:1" x14ac:dyDescent="0.2">
      <c r="A1836" s="49" t="str">
        <f t="shared" si="28"/>
        <v/>
      </c>
    </row>
    <row r="1837" spans="1:1" x14ac:dyDescent="0.2">
      <c r="A1837" s="49" t="str">
        <f t="shared" si="28"/>
        <v/>
      </c>
    </row>
    <row r="1838" spans="1:1" x14ac:dyDescent="0.2">
      <c r="A1838" s="49" t="str">
        <f t="shared" si="28"/>
        <v/>
      </c>
    </row>
    <row r="1839" spans="1:1" x14ac:dyDescent="0.2">
      <c r="A1839" s="49" t="str">
        <f t="shared" si="28"/>
        <v/>
      </c>
    </row>
    <row r="1840" spans="1:1" x14ac:dyDescent="0.2">
      <c r="A1840" s="49" t="str">
        <f t="shared" si="28"/>
        <v/>
      </c>
    </row>
    <row r="1841" spans="1:1" x14ac:dyDescent="0.2">
      <c r="A1841" s="49" t="str">
        <f t="shared" si="28"/>
        <v/>
      </c>
    </row>
    <row r="1842" spans="1:1" x14ac:dyDescent="0.2">
      <c r="A1842" s="49" t="str">
        <f t="shared" si="28"/>
        <v/>
      </c>
    </row>
    <row r="1843" spans="1:1" x14ac:dyDescent="0.2">
      <c r="A1843" s="49" t="str">
        <f t="shared" si="28"/>
        <v/>
      </c>
    </row>
    <row r="1844" spans="1:1" x14ac:dyDescent="0.2">
      <c r="A1844" s="49" t="str">
        <f t="shared" si="28"/>
        <v/>
      </c>
    </row>
    <row r="1845" spans="1:1" x14ac:dyDescent="0.2">
      <c r="A1845" s="49" t="str">
        <f t="shared" si="28"/>
        <v/>
      </c>
    </row>
    <row r="1846" spans="1:1" x14ac:dyDescent="0.2">
      <c r="A1846" s="49" t="str">
        <f t="shared" si="28"/>
        <v/>
      </c>
    </row>
    <row r="1847" spans="1:1" x14ac:dyDescent="0.2">
      <c r="A1847" s="49" t="str">
        <f t="shared" si="28"/>
        <v/>
      </c>
    </row>
    <row r="1848" spans="1:1" x14ac:dyDescent="0.2">
      <c r="A1848" s="49" t="str">
        <f t="shared" si="28"/>
        <v/>
      </c>
    </row>
    <row r="1849" spans="1:1" x14ac:dyDescent="0.2">
      <c r="A1849" s="49" t="str">
        <f t="shared" si="28"/>
        <v/>
      </c>
    </row>
    <row r="1850" spans="1:1" x14ac:dyDescent="0.2">
      <c r="A1850" s="49" t="str">
        <f t="shared" si="28"/>
        <v/>
      </c>
    </row>
    <row r="1851" spans="1:1" x14ac:dyDescent="0.2">
      <c r="A1851" s="49" t="str">
        <f t="shared" si="28"/>
        <v/>
      </c>
    </row>
    <row r="1852" spans="1:1" x14ac:dyDescent="0.2">
      <c r="A1852" s="49" t="str">
        <f t="shared" si="28"/>
        <v/>
      </c>
    </row>
    <row r="1853" spans="1:1" x14ac:dyDescent="0.2">
      <c r="A1853" s="49" t="str">
        <f t="shared" si="28"/>
        <v/>
      </c>
    </row>
    <row r="1854" spans="1:1" x14ac:dyDescent="0.2">
      <c r="A1854" s="49" t="str">
        <f t="shared" si="28"/>
        <v/>
      </c>
    </row>
    <row r="1855" spans="1:1" x14ac:dyDescent="0.2">
      <c r="A1855" s="49" t="str">
        <f t="shared" si="28"/>
        <v/>
      </c>
    </row>
    <row r="1856" spans="1:1" x14ac:dyDescent="0.2">
      <c r="A1856" s="49" t="str">
        <f t="shared" si="28"/>
        <v/>
      </c>
    </row>
    <row r="1857" spans="1:1" x14ac:dyDescent="0.2">
      <c r="A1857" s="49" t="str">
        <f t="shared" si="28"/>
        <v/>
      </c>
    </row>
    <row r="1858" spans="1:1" x14ac:dyDescent="0.2">
      <c r="A1858" s="49" t="str">
        <f t="shared" si="28"/>
        <v/>
      </c>
    </row>
    <row r="1859" spans="1:1" x14ac:dyDescent="0.2">
      <c r="A1859" s="49" t="str">
        <f t="shared" si="28"/>
        <v/>
      </c>
    </row>
    <row r="1860" spans="1:1" x14ac:dyDescent="0.2">
      <c r="A1860" s="49" t="str">
        <f t="shared" ref="A1860:A1923" si="29">IF(AND(B1859&lt;&gt;"",B1860=""),$A$2&amp;"---&gt;","")</f>
        <v/>
      </c>
    </row>
    <row r="1861" spans="1:1" x14ac:dyDescent="0.2">
      <c r="A1861" s="49" t="str">
        <f t="shared" si="29"/>
        <v/>
      </c>
    </row>
    <row r="1862" spans="1:1" x14ac:dyDescent="0.2">
      <c r="A1862" s="49" t="str">
        <f t="shared" si="29"/>
        <v/>
      </c>
    </row>
    <row r="1863" spans="1:1" x14ac:dyDescent="0.2">
      <c r="A1863" s="49" t="str">
        <f t="shared" si="29"/>
        <v/>
      </c>
    </row>
    <row r="1864" spans="1:1" x14ac:dyDescent="0.2">
      <c r="A1864" s="49" t="str">
        <f t="shared" si="29"/>
        <v/>
      </c>
    </row>
    <row r="1865" spans="1:1" x14ac:dyDescent="0.2">
      <c r="A1865" s="49" t="str">
        <f t="shared" si="29"/>
        <v/>
      </c>
    </row>
    <row r="1866" spans="1:1" x14ac:dyDescent="0.2">
      <c r="A1866" s="49" t="str">
        <f t="shared" si="29"/>
        <v/>
      </c>
    </row>
    <row r="1867" spans="1:1" x14ac:dyDescent="0.2">
      <c r="A1867" s="49" t="str">
        <f t="shared" si="29"/>
        <v/>
      </c>
    </row>
    <row r="1868" spans="1:1" x14ac:dyDescent="0.2">
      <c r="A1868" s="49" t="str">
        <f t="shared" si="29"/>
        <v/>
      </c>
    </row>
    <row r="1869" spans="1:1" x14ac:dyDescent="0.2">
      <c r="A1869" s="49" t="str">
        <f t="shared" si="29"/>
        <v/>
      </c>
    </row>
    <row r="1870" spans="1:1" x14ac:dyDescent="0.2">
      <c r="A1870" s="49" t="str">
        <f t="shared" si="29"/>
        <v/>
      </c>
    </row>
    <row r="1871" spans="1:1" x14ac:dyDescent="0.2">
      <c r="A1871" s="49" t="str">
        <f t="shared" si="29"/>
        <v/>
      </c>
    </row>
    <row r="1872" spans="1:1" x14ac:dyDescent="0.2">
      <c r="A1872" s="49" t="str">
        <f t="shared" si="29"/>
        <v/>
      </c>
    </row>
    <row r="1873" spans="1:1" x14ac:dyDescent="0.2">
      <c r="A1873" s="49" t="str">
        <f t="shared" si="29"/>
        <v/>
      </c>
    </row>
    <row r="1874" spans="1:1" x14ac:dyDescent="0.2">
      <c r="A1874" s="49" t="str">
        <f t="shared" si="29"/>
        <v/>
      </c>
    </row>
    <row r="1875" spans="1:1" x14ac:dyDescent="0.2">
      <c r="A1875" s="49" t="str">
        <f t="shared" si="29"/>
        <v/>
      </c>
    </row>
    <row r="1876" spans="1:1" x14ac:dyDescent="0.2">
      <c r="A1876" s="49" t="str">
        <f t="shared" si="29"/>
        <v/>
      </c>
    </row>
    <row r="1877" spans="1:1" x14ac:dyDescent="0.2">
      <c r="A1877" s="49" t="str">
        <f t="shared" si="29"/>
        <v/>
      </c>
    </row>
    <row r="1878" spans="1:1" x14ac:dyDescent="0.2">
      <c r="A1878" s="49" t="str">
        <f t="shared" si="29"/>
        <v/>
      </c>
    </row>
    <row r="1879" spans="1:1" x14ac:dyDescent="0.2">
      <c r="A1879" s="49" t="str">
        <f t="shared" si="29"/>
        <v/>
      </c>
    </row>
    <row r="1880" spans="1:1" x14ac:dyDescent="0.2">
      <c r="A1880" s="49" t="str">
        <f t="shared" si="29"/>
        <v/>
      </c>
    </row>
    <row r="1881" spans="1:1" x14ac:dyDescent="0.2">
      <c r="A1881" s="49" t="str">
        <f t="shared" si="29"/>
        <v/>
      </c>
    </row>
    <row r="1882" spans="1:1" x14ac:dyDescent="0.2">
      <c r="A1882" s="49" t="str">
        <f t="shared" si="29"/>
        <v/>
      </c>
    </row>
    <row r="1883" spans="1:1" x14ac:dyDescent="0.2">
      <c r="A1883" s="49" t="str">
        <f t="shared" si="29"/>
        <v/>
      </c>
    </row>
    <row r="1884" spans="1:1" x14ac:dyDescent="0.2">
      <c r="A1884" s="49" t="str">
        <f t="shared" si="29"/>
        <v/>
      </c>
    </row>
    <row r="1885" spans="1:1" x14ac:dyDescent="0.2">
      <c r="A1885" s="49" t="str">
        <f t="shared" si="29"/>
        <v/>
      </c>
    </row>
    <row r="1886" spans="1:1" x14ac:dyDescent="0.2">
      <c r="A1886" s="49" t="str">
        <f t="shared" si="29"/>
        <v/>
      </c>
    </row>
    <row r="1887" spans="1:1" x14ac:dyDescent="0.2">
      <c r="A1887" s="49" t="str">
        <f t="shared" si="29"/>
        <v/>
      </c>
    </row>
    <row r="1888" spans="1:1" x14ac:dyDescent="0.2">
      <c r="A1888" s="49" t="str">
        <f t="shared" si="29"/>
        <v/>
      </c>
    </row>
    <row r="1889" spans="1:1" x14ac:dyDescent="0.2">
      <c r="A1889" s="49" t="str">
        <f t="shared" si="29"/>
        <v/>
      </c>
    </row>
    <row r="1890" spans="1:1" x14ac:dyDescent="0.2">
      <c r="A1890" s="49" t="str">
        <f t="shared" si="29"/>
        <v/>
      </c>
    </row>
    <row r="1891" spans="1:1" x14ac:dyDescent="0.2">
      <c r="A1891" s="49" t="str">
        <f t="shared" si="29"/>
        <v/>
      </c>
    </row>
    <row r="1892" spans="1:1" x14ac:dyDescent="0.2">
      <c r="A1892" s="49" t="str">
        <f t="shared" si="29"/>
        <v/>
      </c>
    </row>
    <row r="1893" spans="1:1" x14ac:dyDescent="0.2">
      <c r="A1893" s="49" t="str">
        <f t="shared" si="29"/>
        <v/>
      </c>
    </row>
    <row r="1894" spans="1:1" x14ac:dyDescent="0.2">
      <c r="A1894" s="49" t="str">
        <f t="shared" si="29"/>
        <v/>
      </c>
    </row>
    <row r="1895" spans="1:1" x14ac:dyDescent="0.2">
      <c r="A1895" s="49" t="str">
        <f t="shared" si="29"/>
        <v/>
      </c>
    </row>
    <row r="1896" spans="1:1" x14ac:dyDescent="0.2">
      <c r="A1896" s="49" t="str">
        <f t="shared" si="29"/>
        <v/>
      </c>
    </row>
    <row r="1897" spans="1:1" x14ac:dyDescent="0.2">
      <c r="A1897" s="49" t="str">
        <f t="shared" si="29"/>
        <v/>
      </c>
    </row>
    <row r="1898" spans="1:1" x14ac:dyDescent="0.2">
      <c r="A1898" s="49" t="str">
        <f t="shared" si="29"/>
        <v/>
      </c>
    </row>
    <row r="1899" spans="1:1" x14ac:dyDescent="0.2">
      <c r="A1899" s="49" t="str">
        <f t="shared" si="29"/>
        <v/>
      </c>
    </row>
    <row r="1900" spans="1:1" x14ac:dyDescent="0.2">
      <c r="A1900" s="49" t="str">
        <f t="shared" si="29"/>
        <v/>
      </c>
    </row>
    <row r="1901" spans="1:1" x14ac:dyDescent="0.2">
      <c r="A1901" s="49" t="str">
        <f t="shared" si="29"/>
        <v/>
      </c>
    </row>
    <row r="1902" spans="1:1" x14ac:dyDescent="0.2">
      <c r="A1902" s="49" t="str">
        <f t="shared" si="29"/>
        <v/>
      </c>
    </row>
    <row r="1903" spans="1:1" x14ac:dyDescent="0.2">
      <c r="A1903" s="49" t="str">
        <f t="shared" si="29"/>
        <v/>
      </c>
    </row>
    <row r="1904" spans="1:1" x14ac:dyDescent="0.2">
      <c r="A1904" s="49" t="str">
        <f t="shared" si="29"/>
        <v/>
      </c>
    </row>
    <row r="1905" spans="1:1" x14ac:dyDescent="0.2">
      <c r="A1905" s="49" t="str">
        <f t="shared" si="29"/>
        <v/>
      </c>
    </row>
    <row r="1906" spans="1:1" x14ac:dyDescent="0.2">
      <c r="A1906" s="49" t="str">
        <f t="shared" si="29"/>
        <v/>
      </c>
    </row>
    <row r="1907" spans="1:1" x14ac:dyDescent="0.2">
      <c r="A1907" s="49" t="str">
        <f t="shared" si="29"/>
        <v/>
      </c>
    </row>
    <row r="1908" spans="1:1" x14ac:dyDescent="0.2">
      <c r="A1908" s="49" t="str">
        <f t="shared" si="29"/>
        <v/>
      </c>
    </row>
    <row r="1909" spans="1:1" x14ac:dyDescent="0.2">
      <c r="A1909" s="49" t="str">
        <f t="shared" si="29"/>
        <v/>
      </c>
    </row>
    <row r="1910" spans="1:1" x14ac:dyDescent="0.2">
      <c r="A1910" s="49" t="str">
        <f t="shared" si="29"/>
        <v/>
      </c>
    </row>
    <row r="1911" spans="1:1" x14ac:dyDescent="0.2">
      <c r="A1911" s="49" t="str">
        <f t="shared" si="29"/>
        <v/>
      </c>
    </row>
    <row r="1912" spans="1:1" x14ac:dyDescent="0.2">
      <c r="A1912" s="49" t="str">
        <f t="shared" si="29"/>
        <v/>
      </c>
    </row>
    <row r="1913" spans="1:1" x14ac:dyDescent="0.2">
      <c r="A1913" s="49" t="str">
        <f t="shared" si="29"/>
        <v/>
      </c>
    </row>
    <row r="1914" spans="1:1" x14ac:dyDescent="0.2">
      <c r="A1914" s="49" t="str">
        <f t="shared" si="29"/>
        <v/>
      </c>
    </row>
    <row r="1915" spans="1:1" x14ac:dyDescent="0.2">
      <c r="A1915" s="49" t="str">
        <f t="shared" si="29"/>
        <v/>
      </c>
    </row>
    <row r="1916" spans="1:1" x14ac:dyDescent="0.2">
      <c r="A1916" s="49" t="str">
        <f t="shared" si="29"/>
        <v/>
      </c>
    </row>
    <row r="1917" spans="1:1" x14ac:dyDescent="0.2">
      <c r="A1917" s="49" t="str">
        <f t="shared" si="29"/>
        <v/>
      </c>
    </row>
    <row r="1918" spans="1:1" x14ac:dyDescent="0.2">
      <c r="A1918" s="49" t="str">
        <f t="shared" si="29"/>
        <v/>
      </c>
    </row>
    <row r="1919" spans="1:1" x14ac:dyDescent="0.2">
      <c r="A1919" s="49" t="str">
        <f t="shared" si="29"/>
        <v/>
      </c>
    </row>
    <row r="1920" spans="1:1" x14ac:dyDescent="0.2">
      <c r="A1920" s="49" t="str">
        <f t="shared" si="29"/>
        <v/>
      </c>
    </row>
    <row r="1921" spans="1:1" x14ac:dyDescent="0.2">
      <c r="A1921" s="49" t="str">
        <f t="shared" si="29"/>
        <v/>
      </c>
    </row>
    <row r="1922" spans="1:1" x14ac:dyDescent="0.2">
      <c r="A1922" s="49" t="str">
        <f t="shared" si="29"/>
        <v/>
      </c>
    </row>
    <row r="1923" spans="1:1" x14ac:dyDescent="0.2">
      <c r="A1923" s="49" t="str">
        <f t="shared" si="29"/>
        <v/>
      </c>
    </row>
    <row r="1924" spans="1:1" x14ac:dyDescent="0.2">
      <c r="A1924" s="49" t="str">
        <f t="shared" ref="A1924:A1987" si="30">IF(AND(B1923&lt;&gt;"",B1924=""),$A$2&amp;"---&gt;","")</f>
        <v/>
      </c>
    </row>
    <row r="1925" spans="1:1" x14ac:dyDescent="0.2">
      <c r="A1925" s="49" t="str">
        <f t="shared" si="30"/>
        <v/>
      </c>
    </row>
    <row r="1926" spans="1:1" x14ac:dyDescent="0.2">
      <c r="A1926" s="49" t="str">
        <f t="shared" si="30"/>
        <v/>
      </c>
    </row>
    <row r="1927" spans="1:1" x14ac:dyDescent="0.2">
      <c r="A1927" s="49" t="str">
        <f t="shared" si="30"/>
        <v/>
      </c>
    </row>
    <row r="1928" spans="1:1" x14ac:dyDescent="0.2">
      <c r="A1928" s="49" t="str">
        <f t="shared" si="30"/>
        <v/>
      </c>
    </row>
    <row r="1929" spans="1:1" x14ac:dyDescent="0.2">
      <c r="A1929" s="49" t="str">
        <f t="shared" si="30"/>
        <v/>
      </c>
    </row>
    <row r="1930" spans="1:1" x14ac:dyDescent="0.2">
      <c r="A1930" s="49" t="str">
        <f t="shared" si="30"/>
        <v/>
      </c>
    </row>
    <row r="1931" spans="1:1" x14ac:dyDescent="0.2">
      <c r="A1931" s="49" t="str">
        <f t="shared" si="30"/>
        <v/>
      </c>
    </row>
    <row r="1932" spans="1:1" x14ac:dyDescent="0.2">
      <c r="A1932" s="49" t="str">
        <f t="shared" si="30"/>
        <v/>
      </c>
    </row>
    <row r="1933" spans="1:1" x14ac:dyDescent="0.2">
      <c r="A1933" s="49" t="str">
        <f t="shared" si="30"/>
        <v/>
      </c>
    </row>
    <row r="1934" spans="1:1" x14ac:dyDescent="0.2">
      <c r="A1934" s="49" t="str">
        <f t="shared" si="30"/>
        <v/>
      </c>
    </row>
    <row r="1935" spans="1:1" x14ac:dyDescent="0.2">
      <c r="A1935" s="49" t="str">
        <f t="shared" si="30"/>
        <v/>
      </c>
    </row>
    <row r="1936" spans="1:1" x14ac:dyDescent="0.2">
      <c r="A1936" s="49" t="str">
        <f t="shared" si="30"/>
        <v/>
      </c>
    </row>
    <row r="1937" spans="1:1" x14ac:dyDescent="0.2">
      <c r="A1937" s="49" t="str">
        <f t="shared" si="30"/>
        <v/>
      </c>
    </row>
    <row r="1938" spans="1:1" x14ac:dyDescent="0.2">
      <c r="A1938" s="49" t="str">
        <f t="shared" si="30"/>
        <v/>
      </c>
    </row>
    <row r="1939" spans="1:1" x14ac:dyDescent="0.2">
      <c r="A1939" s="49" t="str">
        <f t="shared" si="30"/>
        <v/>
      </c>
    </row>
    <row r="1940" spans="1:1" x14ac:dyDescent="0.2">
      <c r="A1940" s="49" t="str">
        <f t="shared" si="30"/>
        <v/>
      </c>
    </row>
    <row r="1941" spans="1:1" x14ac:dyDescent="0.2">
      <c r="A1941" s="49" t="str">
        <f t="shared" si="30"/>
        <v/>
      </c>
    </row>
    <row r="1942" spans="1:1" x14ac:dyDescent="0.2">
      <c r="A1942" s="49" t="str">
        <f t="shared" si="30"/>
        <v/>
      </c>
    </row>
    <row r="1943" spans="1:1" x14ac:dyDescent="0.2">
      <c r="A1943" s="49" t="str">
        <f t="shared" si="30"/>
        <v/>
      </c>
    </row>
    <row r="1944" spans="1:1" x14ac:dyDescent="0.2">
      <c r="A1944" s="49" t="str">
        <f t="shared" si="30"/>
        <v/>
      </c>
    </row>
    <row r="1945" spans="1:1" x14ac:dyDescent="0.2">
      <c r="A1945" s="49" t="str">
        <f t="shared" si="30"/>
        <v/>
      </c>
    </row>
    <row r="1946" spans="1:1" x14ac:dyDescent="0.2">
      <c r="A1946" s="49" t="str">
        <f t="shared" si="30"/>
        <v/>
      </c>
    </row>
    <row r="1947" spans="1:1" x14ac:dyDescent="0.2">
      <c r="A1947" s="49" t="str">
        <f t="shared" si="30"/>
        <v/>
      </c>
    </row>
    <row r="1948" spans="1:1" x14ac:dyDescent="0.2">
      <c r="A1948" s="49" t="str">
        <f t="shared" si="30"/>
        <v/>
      </c>
    </row>
    <row r="1949" spans="1:1" x14ac:dyDescent="0.2">
      <c r="A1949" s="49" t="str">
        <f t="shared" si="30"/>
        <v/>
      </c>
    </row>
    <row r="1950" spans="1:1" x14ac:dyDescent="0.2">
      <c r="A1950" s="49" t="str">
        <f t="shared" si="30"/>
        <v/>
      </c>
    </row>
    <row r="1951" spans="1:1" x14ac:dyDescent="0.2">
      <c r="A1951" s="49" t="str">
        <f t="shared" si="30"/>
        <v/>
      </c>
    </row>
    <row r="1952" spans="1:1" x14ac:dyDescent="0.2">
      <c r="A1952" s="49" t="str">
        <f t="shared" si="30"/>
        <v/>
      </c>
    </row>
    <row r="1953" spans="1:1" x14ac:dyDescent="0.2">
      <c r="A1953" s="49" t="str">
        <f t="shared" si="30"/>
        <v/>
      </c>
    </row>
    <row r="1954" spans="1:1" x14ac:dyDescent="0.2">
      <c r="A1954" s="49" t="str">
        <f t="shared" si="30"/>
        <v/>
      </c>
    </row>
    <row r="1955" spans="1:1" x14ac:dyDescent="0.2">
      <c r="A1955" s="49" t="str">
        <f t="shared" si="30"/>
        <v/>
      </c>
    </row>
    <row r="1956" spans="1:1" x14ac:dyDescent="0.2">
      <c r="A1956" s="49" t="str">
        <f t="shared" si="30"/>
        <v/>
      </c>
    </row>
    <row r="1957" spans="1:1" x14ac:dyDescent="0.2">
      <c r="A1957" s="49" t="str">
        <f t="shared" si="30"/>
        <v/>
      </c>
    </row>
    <row r="1958" spans="1:1" x14ac:dyDescent="0.2">
      <c r="A1958" s="49" t="str">
        <f t="shared" si="30"/>
        <v/>
      </c>
    </row>
    <row r="1959" spans="1:1" x14ac:dyDescent="0.2">
      <c r="A1959" s="49" t="str">
        <f t="shared" si="30"/>
        <v/>
      </c>
    </row>
    <row r="1960" spans="1:1" x14ac:dyDescent="0.2">
      <c r="A1960" s="49" t="str">
        <f t="shared" si="30"/>
        <v/>
      </c>
    </row>
    <row r="1961" spans="1:1" x14ac:dyDescent="0.2">
      <c r="A1961" s="49" t="str">
        <f t="shared" si="30"/>
        <v/>
      </c>
    </row>
    <row r="1962" spans="1:1" x14ac:dyDescent="0.2">
      <c r="A1962" s="49" t="str">
        <f t="shared" si="30"/>
        <v/>
      </c>
    </row>
    <row r="1963" spans="1:1" x14ac:dyDescent="0.2">
      <c r="A1963" s="49" t="str">
        <f t="shared" si="30"/>
        <v/>
      </c>
    </row>
    <row r="1964" spans="1:1" x14ac:dyDescent="0.2">
      <c r="A1964" s="49" t="str">
        <f t="shared" si="30"/>
        <v/>
      </c>
    </row>
    <row r="1965" spans="1:1" x14ac:dyDescent="0.2">
      <c r="A1965" s="49" t="str">
        <f t="shared" si="30"/>
        <v/>
      </c>
    </row>
    <row r="1966" spans="1:1" x14ac:dyDescent="0.2">
      <c r="A1966" s="49" t="str">
        <f t="shared" si="30"/>
        <v/>
      </c>
    </row>
    <row r="1967" spans="1:1" x14ac:dyDescent="0.2">
      <c r="A1967" s="49" t="str">
        <f t="shared" si="30"/>
        <v/>
      </c>
    </row>
    <row r="1968" spans="1:1" x14ac:dyDescent="0.2">
      <c r="A1968" s="49" t="str">
        <f t="shared" si="30"/>
        <v/>
      </c>
    </row>
    <row r="1969" spans="1:1" x14ac:dyDescent="0.2">
      <c r="A1969" s="49" t="str">
        <f t="shared" si="30"/>
        <v/>
      </c>
    </row>
    <row r="1970" spans="1:1" x14ac:dyDescent="0.2">
      <c r="A1970" s="49" t="str">
        <f t="shared" si="30"/>
        <v/>
      </c>
    </row>
    <row r="1971" spans="1:1" x14ac:dyDescent="0.2">
      <c r="A1971" s="49" t="str">
        <f t="shared" si="30"/>
        <v/>
      </c>
    </row>
    <row r="1972" spans="1:1" x14ac:dyDescent="0.2">
      <c r="A1972" s="49" t="str">
        <f t="shared" si="30"/>
        <v/>
      </c>
    </row>
    <row r="1973" spans="1:1" x14ac:dyDescent="0.2">
      <c r="A1973" s="49" t="str">
        <f t="shared" si="30"/>
        <v/>
      </c>
    </row>
    <row r="1974" spans="1:1" x14ac:dyDescent="0.2">
      <c r="A1974" s="49" t="str">
        <f t="shared" si="30"/>
        <v/>
      </c>
    </row>
    <row r="1975" spans="1:1" x14ac:dyDescent="0.2">
      <c r="A1975" s="49" t="str">
        <f t="shared" si="30"/>
        <v/>
      </c>
    </row>
    <row r="1976" spans="1:1" x14ac:dyDescent="0.2">
      <c r="A1976" s="49" t="str">
        <f t="shared" si="30"/>
        <v/>
      </c>
    </row>
    <row r="1977" spans="1:1" x14ac:dyDescent="0.2">
      <c r="A1977" s="49" t="str">
        <f t="shared" si="30"/>
        <v/>
      </c>
    </row>
    <row r="1978" spans="1:1" x14ac:dyDescent="0.2">
      <c r="A1978" s="49" t="str">
        <f t="shared" si="30"/>
        <v/>
      </c>
    </row>
    <row r="1979" spans="1:1" x14ac:dyDescent="0.2">
      <c r="A1979" s="49" t="str">
        <f t="shared" si="30"/>
        <v/>
      </c>
    </row>
    <row r="1980" spans="1:1" x14ac:dyDescent="0.2">
      <c r="A1980" s="49" t="str">
        <f t="shared" si="30"/>
        <v/>
      </c>
    </row>
    <row r="1981" spans="1:1" x14ac:dyDescent="0.2">
      <c r="A1981" s="49" t="str">
        <f t="shared" si="30"/>
        <v/>
      </c>
    </row>
    <row r="1982" spans="1:1" x14ac:dyDescent="0.2">
      <c r="A1982" s="49" t="str">
        <f t="shared" si="30"/>
        <v/>
      </c>
    </row>
    <row r="1983" spans="1:1" x14ac:dyDescent="0.2">
      <c r="A1983" s="49" t="str">
        <f t="shared" si="30"/>
        <v/>
      </c>
    </row>
    <row r="1984" spans="1:1" x14ac:dyDescent="0.2">
      <c r="A1984" s="49" t="str">
        <f t="shared" si="30"/>
        <v/>
      </c>
    </row>
    <row r="1985" spans="1:1" x14ac:dyDescent="0.2">
      <c r="A1985" s="49" t="str">
        <f t="shared" si="30"/>
        <v/>
      </c>
    </row>
    <row r="1986" spans="1:1" x14ac:dyDescent="0.2">
      <c r="A1986" s="49" t="str">
        <f t="shared" si="30"/>
        <v/>
      </c>
    </row>
    <row r="1987" spans="1:1" x14ac:dyDescent="0.2">
      <c r="A1987" s="49" t="str">
        <f t="shared" si="30"/>
        <v/>
      </c>
    </row>
    <row r="1988" spans="1:1" x14ac:dyDescent="0.2">
      <c r="A1988" s="49" t="str">
        <f t="shared" ref="A1988:A2051" si="31">IF(AND(B1987&lt;&gt;"",B1988=""),$A$2&amp;"---&gt;","")</f>
        <v/>
      </c>
    </row>
    <row r="1989" spans="1:1" x14ac:dyDescent="0.2">
      <c r="A1989" s="49" t="str">
        <f t="shared" si="31"/>
        <v/>
      </c>
    </row>
    <row r="1990" spans="1:1" x14ac:dyDescent="0.2">
      <c r="A1990" s="49" t="str">
        <f t="shared" si="31"/>
        <v/>
      </c>
    </row>
    <row r="1991" spans="1:1" x14ac:dyDescent="0.2">
      <c r="A1991" s="49" t="str">
        <f t="shared" si="31"/>
        <v/>
      </c>
    </row>
    <row r="1992" spans="1:1" x14ac:dyDescent="0.2">
      <c r="A1992" s="49" t="str">
        <f t="shared" si="31"/>
        <v/>
      </c>
    </row>
    <row r="1993" spans="1:1" x14ac:dyDescent="0.2">
      <c r="A1993" s="49" t="str">
        <f t="shared" si="31"/>
        <v/>
      </c>
    </row>
    <row r="1994" spans="1:1" x14ac:dyDescent="0.2">
      <c r="A1994" s="49" t="str">
        <f t="shared" si="31"/>
        <v/>
      </c>
    </row>
    <row r="1995" spans="1:1" x14ac:dyDescent="0.2">
      <c r="A1995" s="49" t="str">
        <f t="shared" si="31"/>
        <v/>
      </c>
    </row>
    <row r="1996" spans="1:1" x14ac:dyDescent="0.2">
      <c r="A1996" s="49" t="str">
        <f t="shared" si="31"/>
        <v/>
      </c>
    </row>
    <row r="1997" spans="1:1" x14ac:dyDescent="0.2">
      <c r="A1997" s="49" t="str">
        <f t="shared" si="31"/>
        <v/>
      </c>
    </row>
    <row r="1998" spans="1:1" x14ac:dyDescent="0.2">
      <c r="A1998" s="49" t="str">
        <f t="shared" si="31"/>
        <v/>
      </c>
    </row>
    <row r="1999" spans="1:1" x14ac:dyDescent="0.2">
      <c r="A1999" s="49" t="str">
        <f t="shared" si="31"/>
        <v/>
      </c>
    </row>
    <row r="2000" spans="1:1" x14ac:dyDescent="0.2">
      <c r="A2000" s="49" t="str">
        <f t="shared" si="31"/>
        <v/>
      </c>
    </row>
    <row r="2001" spans="1:1" x14ac:dyDescent="0.2">
      <c r="A2001" s="49" t="str">
        <f t="shared" si="31"/>
        <v/>
      </c>
    </row>
    <row r="2002" spans="1:1" x14ac:dyDescent="0.2">
      <c r="A2002" s="49" t="str">
        <f t="shared" si="31"/>
        <v/>
      </c>
    </row>
    <row r="2003" spans="1:1" x14ac:dyDescent="0.2">
      <c r="A2003" s="49" t="str">
        <f t="shared" si="31"/>
        <v/>
      </c>
    </row>
    <row r="2004" spans="1:1" x14ac:dyDescent="0.2">
      <c r="A2004" s="49" t="str">
        <f t="shared" si="31"/>
        <v/>
      </c>
    </row>
    <row r="2005" spans="1:1" x14ac:dyDescent="0.2">
      <c r="A2005" s="49" t="str">
        <f t="shared" si="31"/>
        <v/>
      </c>
    </row>
    <row r="2006" spans="1:1" x14ac:dyDescent="0.2">
      <c r="A2006" s="49" t="str">
        <f t="shared" si="31"/>
        <v/>
      </c>
    </row>
    <row r="2007" spans="1:1" x14ac:dyDescent="0.2">
      <c r="A2007" s="49" t="str">
        <f t="shared" si="31"/>
        <v/>
      </c>
    </row>
    <row r="2008" spans="1:1" x14ac:dyDescent="0.2">
      <c r="A2008" s="49" t="str">
        <f t="shared" si="31"/>
        <v/>
      </c>
    </row>
    <row r="2009" spans="1:1" x14ac:dyDescent="0.2">
      <c r="A2009" s="49" t="str">
        <f t="shared" si="31"/>
        <v/>
      </c>
    </row>
    <row r="2010" spans="1:1" x14ac:dyDescent="0.2">
      <c r="A2010" s="49" t="str">
        <f t="shared" si="31"/>
        <v/>
      </c>
    </row>
    <row r="2011" spans="1:1" x14ac:dyDescent="0.2">
      <c r="A2011" s="49" t="str">
        <f t="shared" si="31"/>
        <v/>
      </c>
    </row>
    <row r="2012" spans="1:1" x14ac:dyDescent="0.2">
      <c r="A2012" s="49" t="str">
        <f t="shared" si="31"/>
        <v/>
      </c>
    </row>
    <row r="2013" spans="1:1" x14ac:dyDescent="0.2">
      <c r="A2013" s="49" t="str">
        <f t="shared" si="31"/>
        <v/>
      </c>
    </row>
    <row r="2014" spans="1:1" x14ac:dyDescent="0.2">
      <c r="A2014" s="49" t="str">
        <f t="shared" si="31"/>
        <v/>
      </c>
    </row>
    <row r="2015" spans="1:1" x14ac:dyDescent="0.2">
      <c r="A2015" s="49" t="str">
        <f t="shared" si="31"/>
        <v/>
      </c>
    </row>
    <row r="2016" spans="1:1" x14ac:dyDescent="0.2">
      <c r="A2016" s="49" t="str">
        <f t="shared" si="31"/>
        <v/>
      </c>
    </row>
    <row r="2017" spans="1:1" x14ac:dyDescent="0.2">
      <c r="A2017" s="49" t="str">
        <f t="shared" si="31"/>
        <v/>
      </c>
    </row>
    <row r="2018" spans="1:1" x14ac:dyDescent="0.2">
      <c r="A2018" s="49" t="str">
        <f t="shared" si="31"/>
        <v/>
      </c>
    </row>
    <row r="2019" spans="1:1" x14ac:dyDescent="0.2">
      <c r="A2019" s="49" t="str">
        <f t="shared" si="31"/>
        <v/>
      </c>
    </row>
    <row r="2020" spans="1:1" x14ac:dyDescent="0.2">
      <c r="A2020" s="49" t="str">
        <f t="shared" si="31"/>
        <v/>
      </c>
    </row>
    <row r="2021" spans="1:1" x14ac:dyDescent="0.2">
      <c r="A2021" s="49" t="str">
        <f t="shared" si="31"/>
        <v/>
      </c>
    </row>
    <row r="2022" spans="1:1" x14ac:dyDescent="0.2">
      <c r="A2022" s="49" t="str">
        <f t="shared" si="31"/>
        <v/>
      </c>
    </row>
    <row r="2023" spans="1:1" x14ac:dyDescent="0.2">
      <c r="A2023" s="49" t="str">
        <f t="shared" si="31"/>
        <v/>
      </c>
    </row>
    <row r="2024" spans="1:1" x14ac:dyDescent="0.2">
      <c r="A2024" s="49" t="str">
        <f t="shared" si="31"/>
        <v/>
      </c>
    </row>
    <row r="2025" spans="1:1" x14ac:dyDescent="0.2">
      <c r="A2025" s="49" t="str">
        <f t="shared" si="31"/>
        <v/>
      </c>
    </row>
    <row r="2026" spans="1:1" x14ac:dyDescent="0.2">
      <c r="A2026" s="49" t="str">
        <f t="shared" si="31"/>
        <v/>
      </c>
    </row>
    <row r="2027" spans="1:1" x14ac:dyDescent="0.2">
      <c r="A2027" s="49" t="str">
        <f t="shared" si="31"/>
        <v/>
      </c>
    </row>
    <row r="2028" spans="1:1" x14ac:dyDescent="0.2">
      <c r="A2028" s="49" t="str">
        <f t="shared" si="31"/>
        <v/>
      </c>
    </row>
    <row r="2029" spans="1:1" x14ac:dyDescent="0.2">
      <c r="A2029" s="49" t="str">
        <f t="shared" si="31"/>
        <v/>
      </c>
    </row>
    <row r="2030" spans="1:1" x14ac:dyDescent="0.2">
      <c r="A2030" s="49" t="str">
        <f t="shared" si="31"/>
        <v/>
      </c>
    </row>
    <row r="2031" spans="1:1" x14ac:dyDescent="0.2">
      <c r="A2031" s="49" t="str">
        <f t="shared" si="31"/>
        <v/>
      </c>
    </row>
    <row r="2032" spans="1:1" x14ac:dyDescent="0.2">
      <c r="A2032" s="49" t="str">
        <f t="shared" si="31"/>
        <v/>
      </c>
    </row>
    <row r="2033" spans="1:1" x14ac:dyDescent="0.2">
      <c r="A2033" s="49" t="str">
        <f t="shared" si="31"/>
        <v/>
      </c>
    </row>
    <row r="2034" spans="1:1" x14ac:dyDescent="0.2">
      <c r="A2034" s="49" t="str">
        <f t="shared" si="31"/>
        <v/>
      </c>
    </row>
    <row r="2035" spans="1:1" x14ac:dyDescent="0.2">
      <c r="A2035" s="49" t="str">
        <f t="shared" si="31"/>
        <v/>
      </c>
    </row>
    <row r="2036" spans="1:1" x14ac:dyDescent="0.2">
      <c r="A2036" s="49" t="str">
        <f t="shared" si="31"/>
        <v/>
      </c>
    </row>
    <row r="2037" spans="1:1" x14ac:dyDescent="0.2">
      <c r="A2037" s="49" t="str">
        <f t="shared" si="31"/>
        <v/>
      </c>
    </row>
    <row r="2038" spans="1:1" x14ac:dyDescent="0.2">
      <c r="A2038" s="49" t="str">
        <f t="shared" si="31"/>
        <v/>
      </c>
    </row>
    <row r="2039" spans="1:1" x14ac:dyDescent="0.2">
      <c r="A2039" s="49" t="str">
        <f t="shared" si="31"/>
        <v/>
      </c>
    </row>
    <row r="2040" spans="1:1" x14ac:dyDescent="0.2">
      <c r="A2040" s="49" t="str">
        <f t="shared" si="31"/>
        <v/>
      </c>
    </row>
    <row r="2041" spans="1:1" x14ac:dyDescent="0.2">
      <c r="A2041" s="49" t="str">
        <f t="shared" si="31"/>
        <v/>
      </c>
    </row>
    <row r="2042" spans="1:1" x14ac:dyDescent="0.2">
      <c r="A2042" s="49" t="str">
        <f t="shared" si="31"/>
        <v/>
      </c>
    </row>
    <row r="2043" spans="1:1" x14ac:dyDescent="0.2">
      <c r="A2043" s="49" t="str">
        <f t="shared" si="31"/>
        <v/>
      </c>
    </row>
    <row r="2044" spans="1:1" x14ac:dyDescent="0.2">
      <c r="A2044" s="49" t="str">
        <f t="shared" si="31"/>
        <v/>
      </c>
    </row>
    <row r="2045" spans="1:1" x14ac:dyDescent="0.2">
      <c r="A2045" s="49" t="str">
        <f t="shared" si="31"/>
        <v/>
      </c>
    </row>
    <row r="2046" spans="1:1" x14ac:dyDescent="0.2">
      <c r="A2046" s="49" t="str">
        <f t="shared" si="31"/>
        <v/>
      </c>
    </row>
    <row r="2047" spans="1:1" x14ac:dyDescent="0.2">
      <c r="A2047" s="49" t="str">
        <f t="shared" si="31"/>
        <v/>
      </c>
    </row>
    <row r="2048" spans="1:1" x14ac:dyDescent="0.2">
      <c r="A2048" s="49" t="str">
        <f t="shared" si="31"/>
        <v/>
      </c>
    </row>
    <row r="2049" spans="1:1" x14ac:dyDescent="0.2">
      <c r="A2049" s="49" t="str">
        <f t="shared" si="31"/>
        <v/>
      </c>
    </row>
    <row r="2050" spans="1:1" x14ac:dyDescent="0.2">
      <c r="A2050" s="49" t="str">
        <f t="shared" si="31"/>
        <v/>
      </c>
    </row>
    <row r="2051" spans="1:1" x14ac:dyDescent="0.2">
      <c r="A2051" s="49" t="str">
        <f t="shared" si="31"/>
        <v/>
      </c>
    </row>
    <row r="2052" spans="1:1" x14ac:dyDescent="0.2">
      <c r="A2052" s="49" t="str">
        <f t="shared" ref="A2052:A2115" si="32">IF(AND(B2051&lt;&gt;"",B2052=""),$A$2&amp;"---&gt;","")</f>
        <v/>
      </c>
    </row>
    <row r="2053" spans="1:1" x14ac:dyDescent="0.2">
      <c r="A2053" s="49" t="str">
        <f t="shared" si="32"/>
        <v/>
      </c>
    </row>
    <row r="2054" spans="1:1" x14ac:dyDescent="0.2">
      <c r="A2054" s="49" t="str">
        <f t="shared" si="32"/>
        <v/>
      </c>
    </row>
    <row r="2055" spans="1:1" x14ac:dyDescent="0.2">
      <c r="A2055" s="49" t="str">
        <f t="shared" si="32"/>
        <v/>
      </c>
    </row>
    <row r="2056" spans="1:1" x14ac:dyDescent="0.2">
      <c r="A2056" s="49" t="str">
        <f t="shared" si="32"/>
        <v/>
      </c>
    </row>
    <row r="2057" spans="1:1" x14ac:dyDescent="0.2">
      <c r="A2057" s="49" t="str">
        <f t="shared" si="32"/>
        <v/>
      </c>
    </row>
    <row r="2058" spans="1:1" x14ac:dyDescent="0.2">
      <c r="A2058" s="49" t="str">
        <f t="shared" si="32"/>
        <v/>
      </c>
    </row>
    <row r="2059" spans="1:1" x14ac:dyDescent="0.2">
      <c r="A2059" s="49" t="str">
        <f t="shared" si="32"/>
        <v/>
      </c>
    </row>
    <row r="2060" spans="1:1" x14ac:dyDescent="0.2">
      <c r="A2060" s="49" t="str">
        <f t="shared" si="32"/>
        <v/>
      </c>
    </row>
    <row r="2061" spans="1:1" x14ac:dyDescent="0.2">
      <c r="A2061" s="49" t="str">
        <f t="shared" si="32"/>
        <v/>
      </c>
    </row>
    <row r="2062" spans="1:1" x14ac:dyDescent="0.2">
      <c r="A2062" s="49" t="str">
        <f t="shared" si="32"/>
        <v/>
      </c>
    </row>
    <row r="2063" spans="1:1" x14ac:dyDescent="0.2">
      <c r="A2063" s="49" t="str">
        <f t="shared" si="32"/>
        <v/>
      </c>
    </row>
    <row r="2064" spans="1:1" x14ac:dyDescent="0.2">
      <c r="A2064" s="49" t="str">
        <f t="shared" si="32"/>
        <v/>
      </c>
    </row>
    <row r="2065" spans="1:1" x14ac:dyDescent="0.2">
      <c r="A2065" s="49" t="str">
        <f t="shared" si="32"/>
        <v/>
      </c>
    </row>
    <row r="2066" spans="1:1" x14ac:dyDescent="0.2">
      <c r="A2066" s="49" t="str">
        <f t="shared" si="32"/>
        <v/>
      </c>
    </row>
    <row r="2067" spans="1:1" x14ac:dyDescent="0.2">
      <c r="A2067" s="49" t="str">
        <f t="shared" si="32"/>
        <v/>
      </c>
    </row>
    <row r="2068" spans="1:1" x14ac:dyDescent="0.2">
      <c r="A2068" s="49" t="str">
        <f t="shared" si="32"/>
        <v/>
      </c>
    </row>
    <row r="2069" spans="1:1" x14ac:dyDescent="0.2">
      <c r="A2069" s="49" t="str">
        <f t="shared" si="32"/>
        <v/>
      </c>
    </row>
    <row r="2070" spans="1:1" x14ac:dyDescent="0.2">
      <c r="A2070" s="49" t="str">
        <f t="shared" si="32"/>
        <v/>
      </c>
    </row>
    <row r="2071" spans="1:1" x14ac:dyDescent="0.2">
      <c r="A2071" s="49" t="str">
        <f t="shared" si="32"/>
        <v/>
      </c>
    </row>
    <row r="2072" spans="1:1" x14ac:dyDescent="0.2">
      <c r="A2072" s="49" t="str">
        <f t="shared" si="32"/>
        <v/>
      </c>
    </row>
    <row r="2073" spans="1:1" x14ac:dyDescent="0.2">
      <c r="A2073" s="49" t="str">
        <f t="shared" si="32"/>
        <v/>
      </c>
    </row>
    <row r="2074" spans="1:1" x14ac:dyDescent="0.2">
      <c r="A2074" s="49" t="str">
        <f t="shared" si="32"/>
        <v/>
      </c>
    </row>
    <row r="2075" spans="1:1" x14ac:dyDescent="0.2">
      <c r="A2075" s="49" t="str">
        <f t="shared" si="32"/>
        <v/>
      </c>
    </row>
    <row r="2076" spans="1:1" x14ac:dyDescent="0.2">
      <c r="A2076" s="49" t="str">
        <f t="shared" si="32"/>
        <v/>
      </c>
    </row>
    <row r="2077" spans="1:1" x14ac:dyDescent="0.2">
      <c r="A2077" s="49" t="str">
        <f t="shared" si="32"/>
        <v/>
      </c>
    </row>
    <row r="2078" spans="1:1" x14ac:dyDescent="0.2">
      <c r="A2078" s="49" t="str">
        <f t="shared" si="32"/>
        <v/>
      </c>
    </row>
    <row r="2079" spans="1:1" x14ac:dyDescent="0.2">
      <c r="A2079" s="49" t="str">
        <f t="shared" si="32"/>
        <v/>
      </c>
    </row>
    <row r="2080" spans="1:1" x14ac:dyDescent="0.2">
      <c r="A2080" s="49" t="str">
        <f t="shared" si="32"/>
        <v/>
      </c>
    </row>
    <row r="2081" spans="1:1" x14ac:dyDescent="0.2">
      <c r="A2081" s="49" t="str">
        <f t="shared" si="32"/>
        <v/>
      </c>
    </row>
    <row r="2082" spans="1:1" x14ac:dyDescent="0.2">
      <c r="A2082" s="49" t="str">
        <f t="shared" si="32"/>
        <v/>
      </c>
    </row>
    <row r="2083" spans="1:1" x14ac:dyDescent="0.2">
      <c r="A2083" s="49" t="str">
        <f t="shared" si="32"/>
        <v/>
      </c>
    </row>
    <row r="2084" spans="1:1" x14ac:dyDescent="0.2">
      <c r="A2084" s="49" t="str">
        <f t="shared" si="32"/>
        <v/>
      </c>
    </row>
    <row r="2085" spans="1:1" x14ac:dyDescent="0.2">
      <c r="A2085" s="49" t="str">
        <f t="shared" si="32"/>
        <v/>
      </c>
    </row>
    <row r="2086" spans="1:1" x14ac:dyDescent="0.2">
      <c r="A2086" s="49" t="str">
        <f t="shared" si="32"/>
        <v/>
      </c>
    </row>
    <row r="2087" spans="1:1" x14ac:dyDescent="0.2">
      <c r="A2087" s="49" t="str">
        <f t="shared" si="32"/>
        <v/>
      </c>
    </row>
    <row r="2088" spans="1:1" x14ac:dyDescent="0.2">
      <c r="A2088" s="49" t="str">
        <f t="shared" si="32"/>
        <v/>
      </c>
    </row>
    <row r="2089" spans="1:1" x14ac:dyDescent="0.2">
      <c r="A2089" s="49" t="str">
        <f t="shared" si="32"/>
        <v/>
      </c>
    </row>
    <row r="2090" spans="1:1" x14ac:dyDescent="0.2">
      <c r="A2090" s="49" t="str">
        <f t="shared" si="32"/>
        <v/>
      </c>
    </row>
    <row r="2091" spans="1:1" x14ac:dyDescent="0.2">
      <c r="A2091" s="49" t="str">
        <f t="shared" si="32"/>
        <v/>
      </c>
    </row>
    <row r="2092" spans="1:1" x14ac:dyDescent="0.2">
      <c r="A2092" s="49" t="str">
        <f t="shared" si="32"/>
        <v/>
      </c>
    </row>
    <row r="2093" spans="1:1" x14ac:dyDescent="0.2">
      <c r="A2093" s="49" t="str">
        <f t="shared" si="32"/>
        <v/>
      </c>
    </row>
    <row r="2094" spans="1:1" x14ac:dyDescent="0.2">
      <c r="A2094" s="49" t="str">
        <f t="shared" si="32"/>
        <v/>
      </c>
    </row>
    <row r="2095" spans="1:1" x14ac:dyDescent="0.2">
      <c r="A2095" s="49" t="str">
        <f t="shared" si="32"/>
        <v/>
      </c>
    </row>
    <row r="2096" spans="1:1" x14ac:dyDescent="0.2">
      <c r="A2096" s="49" t="str">
        <f t="shared" si="32"/>
        <v/>
      </c>
    </row>
    <row r="2097" spans="1:1" x14ac:dyDescent="0.2">
      <c r="A2097" s="49" t="str">
        <f t="shared" si="32"/>
        <v/>
      </c>
    </row>
    <row r="2098" spans="1:1" x14ac:dyDescent="0.2">
      <c r="A2098" s="49" t="str">
        <f t="shared" si="32"/>
        <v/>
      </c>
    </row>
    <row r="2099" spans="1:1" x14ac:dyDescent="0.2">
      <c r="A2099" s="49" t="str">
        <f t="shared" si="32"/>
        <v/>
      </c>
    </row>
    <row r="2100" spans="1:1" x14ac:dyDescent="0.2">
      <c r="A2100" s="49" t="str">
        <f t="shared" si="32"/>
        <v/>
      </c>
    </row>
    <row r="2101" spans="1:1" x14ac:dyDescent="0.2">
      <c r="A2101" s="49" t="str">
        <f t="shared" si="32"/>
        <v/>
      </c>
    </row>
    <row r="2102" spans="1:1" x14ac:dyDescent="0.2">
      <c r="A2102" s="49" t="str">
        <f t="shared" si="32"/>
        <v/>
      </c>
    </row>
    <row r="2103" spans="1:1" x14ac:dyDescent="0.2">
      <c r="A2103" s="49" t="str">
        <f t="shared" si="32"/>
        <v/>
      </c>
    </row>
    <row r="2104" spans="1:1" x14ac:dyDescent="0.2">
      <c r="A2104" s="49" t="str">
        <f t="shared" si="32"/>
        <v/>
      </c>
    </row>
    <row r="2105" spans="1:1" x14ac:dyDescent="0.2">
      <c r="A2105" s="49" t="str">
        <f t="shared" si="32"/>
        <v/>
      </c>
    </row>
    <row r="2106" spans="1:1" x14ac:dyDescent="0.2">
      <c r="A2106" s="49" t="str">
        <f t="shared" si="32"/>
        <v/>
      </c>
    </row>
    <row r="2107" spans="1:1" x14ac:dyDescent="0.2">
      <c r="A2107" s="49" t="str">
        <f t="shared" si="32"/>
        <v/>
      </c>
    </row>
    <row r="2108" spans="1:1" x14ac:dyDescent="0.2">
      <c r="A2108" s="49" t="str">
        <f t="shared" si="32"/>
        <v/>
      </c>
    </row>
    <row r="2109" spans="1:1" x14ac:dyDescent="0.2">
      <c r="A2109" s="49" t="str">
        <f t="shared" si="32"/>
        <v/>
      </c>
    </row>
    <row r="2110" spans="1:1" x14ac:dyDescent="0.2">
      <c r="A2110" s="49" t="str">
        <f t="shared" si="32"/>
        <v/>
      </c>
    </row>
    <row r="2111" spans="1:1" x14ac:dyDescent="0.2">
      <c r="A2111" s="49" t="str">
        <f t="shared" si="32"/>
        <v/>
      </c>
    </row>
    <row r="2112" spans="1:1" x14ac:dyDescent="0.2">
      <c r="A2112" s="49" t="str">
        <f t="shared" si="32"/>
        <v/>
      </c>
    </row>
    <row r="2113" spans="1:1" x14ac:dyDescent="0.2">
      <c r="A2113" s="49" t="str">
        <f t="shared" si="32"/>
        <v/>
      </c>
    </row>
    <row r="2114" spans="1:1" x14ac:dyDescent="0.2">
      <c r="A2114" s="49" t="str">
        <f t="shared" si="32"/>
        <v/>
      </c>
    </row>
    <row r="2115" spans="1:1" x14ac:dyDescent="0.2">
      <c r="A2115" s="49" t="str">
        <f t="shared" si="32"/>
        <v/>
      </c>
    </row>
    <row r="2116" spans="1:1" x14ac:dyDescent="0.2">
      <c r="A2116" s="49" t="str">
        <f t="shared" ref="A2116:A2179" si="33">IF(AND(B2115&lt;&gt;"",B2116=""),$A$2&amp;"---&gt;","")</f>
        <v/>
      </c>
    </row>
    <row r="2117" spans="1:1" x14ac:dyDescent="0.2">
      <c r="A2117" s="49" t="str">
        <f t="shared" si="33"/>
        <v/>
      </c>
    </row>
    <row r="2118" spans="1:1" x14ac:dyDescent="0.2">
      <c r="A2118" s="49" t="str">
        <f t="shared" si="33"/>
        <v/>
      </c>
    </row>
    <row r="2119" spans="1:1" x14ac:dyDescent="0.2">
      <c r="A2119" s="49" t="str">
        <f t="shared" si="33"/>
        <v/>
      </c>
    </row>
    <row r="2120" spans="1:1" x14ac:dyDescent="0.2">
      <c r="A2120" s="49" t="str">
        <f t="shared" si="33"/>
        <v/>
      </c>
    </row>
    <row r="2121" spans="1:1" x14ac:dyDescent="0.2">
      <c r="A2121" s="49" t="str">
        <f t="shared" si="33"/>
        <v/>
      </c>
    </row>
    <row r="2122" spans="1:1" x14ac:dyDescent="0.2">
      <c r="A2122" s="49" t="str">
        <f t="shared" si="33"/>
        <v/>
      </c>
    </row>
    <row r="2123" spans="1:1" x14ac:dyDescent="0.2">
      <c r="A2123" s="49" t="str">
        <f t="shared" si="33"/>
        <v/>
      </c>
    </row>
    <row r="2124" spans="1:1" x14ac:dyDescent="0.2">
      <c r="A2124" s="49" t="str">
        <f t="shared" si="33"/>
        <v/>
      </c>
    </row>
    <row r="2125" spans="1:1" x14ac:dyDescent="0.2">
      <c r="A2125" s="49" t="str">
        <f t="shared" si="33"/>
        <v/>
      </c>
    </row>
    <row r="2126" spans="1:1" x14ac:dyDescent="0.2">
      <c r="A2126" s="49" t="str">
        <f t="shared" si="33"/>
        <v/>
      </c>
    </row>
    <row r="2127" spans="1:1" x14ac:dyDescent="0.2">
      <c r="A2127" s="49" t="str">
        <f t="shared" si="33"/>
        <v/>
      </c>
    </row>
    <row r="2128" spans="1:1" x14ac:dyDescent="0.2">
      <c r="A2128" s="49" t="str">
        <f t="shared" si="33"/>
        <v/>
      </c>
    </row>
    <row r="2129" spans="1:1" x14ac:dyDescent="0.2">
      <c r="A2129" s="49" t="str">
        <f t="shared" si="33"/>
        <v/>
      </c>
    </row>
    <row r="2130" spans="1:1" x14ac:dyDescent="0.2">
      <c r="A2130" s="49" t="str">
        <f t="shared" si="33"/>
        <v/>
      </c>
    </row>
    <row r="2131" spans="1:1" x14ac:dyDescent="0.2">
      <c r="A2131" s="49" t="str">
        <f t="shared" si="33"/>
        <v/>
      </c>
    </row>
    <row r="2132" spans="1:1" x14ac:dyDescent="0.2">
      <c r="A2132" s="49" t="str">
        <f t="shared" si="33"/>
        <v/>
      </c>
    </row>
    <row r="2133" spans="1:1" x14ac:dyDescent="0.2">
      <c r="A2133" s="49" t="str">
        <f t="shared" si="33"/>
        <v/>
      </c>
    </row>
    <row r="2134" spans="1:1" x14ac:dyDescent="0.2">
      <c r="A2134" s="49" t="str">
        <f t="shared" si="33"/>
        <v/>
      </c>
    </row>
    <row r="2135" spans="1:1" x14ac:dyDescent="0.2">
      <c r="A2135" s="49" t="str">
        <f t="shared" si="33"/>
        <v/>
      </c>
    </row>
    <row r="2136" spans="1:1" x14ac:dyDescent="0.2">
      <c r="A2136" s="49" t="str">
        <f t="shared" si="33"/>
        <v/>
      </c>
    </row>
    <row r="2137" spans="1:1" x14ac:dyDescent="0.2">
      <c r="A2137" s="49" t="str">
        <f t="shared" si="33"/>
        <v/>
      </c>
    </row>
    <row r="2138" spans="1:1" x14ac:dyDescent="0.2">
      <c r="A2138" s="49" t="str">
        <f t="shared" si="33"/>
        <v/>
      </c>
    </row>
    <row r="2139" spans="1:1" x14ac:dyDescent="0.2">
      <c r="A2139" s="49" t="str">
        <f t="shared" si="33"/>
        <v/>
      </c>
    </row>
    <row r="2140" spans="1:1" x14ac:dyDescent="0.2">
      <c r="A2140" s="49" t="str">
        <f t="shared" si="33"/>
        <v/>
      </c>
    </row>
    <row r="2141" spans="1:1" x14ac:dyDescent="0.2">
      <c r="A2141" s="49" t="str">
        <f t="shared" si="33"/>
        <v/>
      </c>
    </row>
    <row r="2142" spans="1:1" x14ac:dyDescent="0.2">
      <c r="A2142" s="49" t="str">
        <f t="shared" si="33"/>
        <v/>
      </c>
    </row>
    <row r="2143" spans="1:1" x14ac:dyDescent="0.2">
      <c r="A2143" s="49" t="str">
        <f t="shared" si="33"/>
        <v/>
      </c>
    </row>
    <row r="2144" spans="1:1" x14ac:dyDescent="0.2">
      <c r="A2144" s="49" t="str">
        <f t="shared" si="33"/>
        <v/>
      </c>
    </row>
    <row r="2145" spans="1:1" x14ac:dyDescent="0.2">
      <c r="A2145" s="49" t="str">
        <f t="shared" si="33"/>
        <v/>
      </c>
    </row>
    <row r="2146" spans="1:1" x14ac:dyDescent="0.2">
      <c r="A2146" s="49" t="str">
        <f t="shared" si="33"/>
        <v/>
      </c>
    </row>
    <row r="2147" spans="1:1" x14ac:dyDescent="0.2">
      <c r="A2147" s="49" t="str">
        <f t="shared" si="33"/>
        <v/>
      </c>
    </row>
    <row r="2148" spans="1:1" x14ac:dyDescent="0.2">
      <c r="A2148" s="49" t="str">
        <f t="shared" si="33"/>
        <v/>
      </c>
    </row>
    <row r="2149" spans="1:1" x14ac:dyDescent="0.2">
      <c r="A2149" s="49" t="str">
        <f t="shared" si="33"/>
        <v/>
      </c>
    </row>
    <row r="2150" spans="1:1" x14ac:dyDescent="0.2">
      <c r="A2150" s="49" t="str">
        <f t="shared" si="33"/>
        <v/>
      </c>
    </row>
    <row r="2151" spans="1:1" x14ac:dyDescent="0.2">
      <c r="A2151" s="49" t="str">
        <f t="shared" si="33"/>
        <v/>
      </c>
    </row>
    <row r="2152" spans="1:1" x14ac:dyDescent="0.2">
      <c r="A2152" s="49" t="str">
        <f t="shared" si="33"/>
        <v/>
      </c>
    </row>
    <row r="2153" spans="1:1" x14ac:dyDescent="0.2">
      <c r="A2153" s="49" t="str">
        <f t="shared" si="33"/>
        <v/>
      </c>
    </row>
    <row r="2154" spans="1:1" x14ac:dyDescent="0.2">
      <c r="A2154" s="49" t="str">
        <f t="shared" si="33"/>
        <v/>
      </c>
    </row>
    <row r="2155" spans="1:1" x14ac:dyDescent="0.2">
      <c r="A2155" s="49" t="str">
        <f t="shared" si="33"/>
        <v/>
      </c>
    </row>
    <row r="2156" spans="1:1" x14ac:dyDescent="0.2">
      <c r="A2156" s="49" t="str">
        <f t="shared" si="33"/>
        <v/>
      </c>
    </row>
    <row r="2157" spans="1:1" x14ac:dyDescent="0.2">
      <c r="A2157" s="49" t="str">
        <f t="shared" si="33"/>
        <v/>
      </c>
    </row>
    <row r="2158" spans="1:1" x14ac:dyDescent="0.2">
      <c r="A2158" s="49" t="str">
        <f t="shared" si="33"/>
        <v/>
      </c>
    </row>
    <row r="2159" spans="1:1" x14ac:dyDescent="0.2">
      <c r="A2159" s="49" t="str">
        <f t="shared" si="33"/>
        <v/>
      </c>
    </row>
    <row r="2160" spans="1:1" x14ac:dyDescent="0.2">
      <c r="A2160" s="49" t="str">
        <f t="shared" si="33"/>
        <v/>
      </c>
    </row>
    <row r="2161" spans="1:1" x14ac:dyDescent="0.2">
      <c r="A2161" s="49" t="str">
        <f t="shared" si="33"/>
        <v/>
      </c>
    </row>
    <row r="2162" spans="1:1" x14ac:dyDescent="0.2">
      <c r="A2162" s="49" t="str">
        <f t="shared" si="33"/>
        <v/>
      </c>
    </row>
    <row r="2163" spans="1:1" x14ac:dyDescent="0.2">
      <c r="A2163" s="49" t="str">
        <f t="shared" si="33"/>
        <v/>
      </c>
    </row>
    <row r="2164" spans="1:1" x14ac:dyDescent="0.2">
      <c r="A2164" s="49" t="str">
        <f t="shared" si="33"/>
        <v/>
      </c>
    </row>
    <row r="2165" spans="1:1" x14ac:dyDescent="0.2">
      <c r="A2165" s="49" t="str">
        <f t="shared" si="33"/>
        <v/>
      </c>
    </row>
    <row r="2166" spans="1:1" x14ac:dyDescent="0.2">
      <c r="A2166" s="49" t="str">
        <f t="shared" si="33"/>
        <v/>
      </c>
    </row>
    <row r="2167" spans="1:1" x14ac:dyDescent="0.2">
      <c r="A2167" s="49" t="str">
        <f t="shared" si="33"/>
        <v/>
      </c>
    </row>
    <row r="2168" spans="1:1" x14ac:dyDescent="0.2">
      <c r="A2168" s="49" t="str">
        <f t="shared" si="33"/>
        <v/>
      </c>
    </row>
    <row r="2169" spans="1:1" x14ac:dyDescent="0.2">
      <c r="A2169" s="49" t="str">
        <f t="shared" si="33"/>
        <v/>
      </c>
    </row>
    <row r="2170" spans="1:1" x14ac:dyDescent="0.2">
      <c r="A2170" s="49" t="str">
        <f t="shared" si="33"/>
        <v/>
      </c>
    </row>
    <row r="2171" spans="1:1" x14ac:dyDescent="0.2">
      <c r="A2171" s="49" t="str">
        <f t="shared" si="33"/>
        <v/>
      </c>
    </row>
    <row r="2172" spans="1:1" x14ac:dyDescent="0.2">
      <c r="A2172" s="49" t="str">
        <f t="shared" si="33"/>
        <v/>
      </c>
    </row>
    <row r="2173" spans="1:1" x14ac:dyDescent="0.2">
      <c r="A2173" s="49" t="str">
        <f t="shared" si="33"/>
        <v/>
      </c>
    </row>
    <row r="2174" spans="1:1" x14ac:dyDescent="0.2">
      <c r="A2174" s="49" t="str">
        <f t="shared" si="33"/>
        <v/>
      </c>
    </row>
    <row r="2175" spans="1:1" x14ac:dyDescent="0.2">
      <c r="A2175" s="49" t="str">
        <f t="shared" si="33"/>
        <v/>
      </c>
    </row>
    <row r="2176" spans="1:1" x14ac:dyDescent="0.2">
      <c r="A2176" s="49" t="str">
        <f t="shared" si="33"/>
        <v/>
      </c>
    </row>
    <row r="2177" spans="1:1" x14ac:dyDescent="0.2">
      <c r="A2177" s="49" t="str">
        <f t="shared" si="33"/>
        <v/>
      </c>
    </row>
    <row r="2178" spans="1:1" x14ac:dyDescent="0.2">
      <c r="A2178" s="49" t="str">
        <f t="shared" si="33"/>
        <v/>
      </c>
    </row>
    <row r="2179" spans="1:1" x14ac:dyDescent="0.2">
      <c r="A2179" s="49" t="str">
        <f t="shared" si="33"/>
        <v/>
      </c>
    </row>
    <row r="2180" spans="1:1" x14ac:dyDescent="0.2">
      <c r="A2180" s="49" t="str">
        <f t="shared" ref="A2180:A2243" si="34">IF(AND(B2179&lt;&gt;"",B2180=""),$A$2&amp;"---&gt;","")</f>
        <v/>
      </c>
    </row>
    <row r="2181" spans="1:1" x14ac:dyDescent="0.2">
      <c r="A2181" s="49" t="str">
        <f t="shared" si="34"/>
        <v/>
      </c>
    </row>
    <row r="2182" spans="1:1" x14ac:dyDescent="0.2">
      <c r="A2182" s="49" t="str">
        <f t="shared" si="34"/>
        <v/>
      </c>
    </row>
    <row r="2183" spans="1:1" x14ac:dyDescent="0.2">
      <c r="A2183" s="49" t="str">
        <f t="shared" si="34"/>
        <v/>
      </c>
    </row>
    <row r="2184" spans="1:1" x14ac:dyDescent="0.2">
      <c r="A2184" s="49" t="str">
        <f t="shared" si="34"/>
        <v/>
      </c>
    </row>
    <row r="2185" spans="1:1" x14ac:dyDescent="0.2">
      <c r="A2185" s="49" t="str">
        <f t="shared" si="34"/>
        <v/>
      </c>
    </row>
    <row r="2186" spans="1:1" x14ac:dyDescent="0.2">
      <c r="A2186" s="49" t="str">
        <f t="shared" si="34"/>
        <v/>
      </c>
    </row>
    <row r="2187" spans="1:1" x14ac:dyDescent="0.2">
      <c r="A2187" s="49" t="str">
        <f t="shared" si="34"/>
        <v/>
      </c>
    </row>
    <row r="2188" spans="1:1" x14ac:dyDescent="0.2">
      <c r="A2188" s="49" t="str">
        <f t="shared" si="34"/>
        <v/>
      </c>
    </row>
    <row r="2189" spans="1:1" x14ac:dyDescent="0.2">
      <c r="A2189" s="49" t="str">
        <f t="shared" si="34"/>
        <v/>
      </c>
    </row>
    <row r="2190" spans="1:1" x14ac:dyDescent="0.2">
      <c r="A2190" s="49" t="str">
        <f t="shared" si="34"/>
        <v/>
      </c>
    </row>
    <row r="2191" spans="1:1" x14ac:dyDescent="0.2">
      <c r="A2191" s="49" t="str">
        <f t="shared" si="34"/>
        <v/>
      </c>
    </row>
    <row r="2192" spans="1:1" x14ac:dyDescent="0.2">
      <c r="A2192" s="49" t="str">
        <f t="shared" si="34"/>
        <v/>
      </c>
    </row>
    <row r="2193" spans="1:1" x14ac:dyDescent="0.2">
      <c r="A2193" s="49" t="str">
        <f t="shared" si="34"/>
        <v/>
      </c>
    </row>
    <row r="2194" spans="1:1" x14ac:dyDescent="0.2">
      <c r="A2194" s="49" t="str">
        <f t="shared" si="34"/>
        <v/>
      </c>
    </row>
    <row r="2195" spans="1:1" x14ac:dyDescent="0.2">
      <c r="A2195" s="49" t="str">
        <f t="shared" si="34"/>
        <v/>
      </c>
    </row>
    <row r="2196" spans="1:1" x14ac:dyDescent="0.2">
      <c r="A2196" s="49" t="str">
        <f t="shared" si="34"/>
        <v/>
      </c>
    </row>
    <row r="2197" spans="1:1" x14ac:dyDescent="0.2">
      <c r="A2197" s="49" t="str">
        <f t="shared" si="34"/>
        <v/>
      </c>
    </row>
    <row r="2198" spans="1:1" x14ac:dyDescent="0.2">
      <c r="A2198" s="49" t="str">
        <f t="shared" si="34"/>
        <v/>
      </c>
    </row>
    <row r="2199" spans="1:1" x14ac:dyDescent="0.2">
      <c r="A2199" s="49" t="str">
        <f t="shared" si="34"/>
        <v/>
      </c>
    </row>
    <row r="2200" spans="1:1" x14ac:dyDescent="0.2">
      <c r="A2200" s="49" t="str">
        <f t="shared" si="34"/>
        <v/>
      </c>
    </row>
    <row r="2201" spans="1:1" x14ac:dyDescent="0.2">
      <c r="A2201" s="49" t="str">
        <f t="shared" si="34"/>
        <v/>
      </c>
    </row>
    <row r="2202" spans="1:1" x14ac:dyDescent="0.2">
      <c r="A2202" s="49" t="str">
        <f t="shared" si="34"/>
        <v/>
      </c>
    </row>
    <row r="2203" spans="1:1" x14ac:dyDescent="0.2">
      <c r="A2203" s="49" t="str">
        <f t="shared" si="34"/>
        <v/>
      </c>
    </row>
    <row r="2204" spans="1:1" x14ac:dyDescent="0.2">
      <c r="A2204" s="49" t="str">
        <f t="shared" si="34"/>
        <v/>
      </c>
    </row>
    <row r="2205" spans="1:1" x14ac:dyDescent="0.2">
      <c r="A2205" s="49" t="str">
        <f t="shared" si="34"/>
        <v/>
      </c>
    </row>
    <row r="2206" spans="1:1" x14ac:dyDescent="0.2">
      <c r="A2206" s="49" t="str">
        <f t="shared" si="34"/>
        <v/>
      </c>
    </row>
    <row r="2207" spans="1:1" x14ac:dyDescent="0.2">
      <c r="A2207" s="49" t="str">
        <f t="shared" si="34"/>
        <v/>
      </c>
    </row>
    <row r="2208" spans="1:1" x14ac:dyDescent="0.2">
      <c r="A2208" s="49" t="str">
        <f t="shared" si="34"/>
        <v/>
      </c>
    </row>
    <row r="2209" spans="1:1" x14ac:dyDescent="0.2">
      <c r="A2209" s="49" t="str">
        <f t="shared" si="34"/>
        <v/>
      </c>
    </row>
    <row r="2210" spans="1:1" x14ac:dyDescent="0.2">
      <c r="A2210" s="49" t="str">
        <f t="shared" si="34"/>
        <v/>
      </c>
    </row>
    <row r="2211" spans="1:1" x14ac:dyDescent="0.2">
      <c r="A2211" s="49" t="str">
        <f t="shared" si="34"/>
        <v/>
      </c>
    </row>
    <row r="2212" spans="1:1" x14ac:dyDescent="0.2">
      <c r="A2212" s="49" t="str">
        <f t="shared" si="34"/>
        <v/>
      </c>
    </row>
    <row r="2213" spans="1:1" x14ac:dyDescent="0.2">
      <c r="A2213" s="49" t="str">
        <f t="shared" si="34"/>
        <v/>
      </c>
    </row>
    <row r="2214" spans="1:1" x14ac:dyDescent="0.2">
      <c r="A2214" s="49" t="str">
        <f t="shared" si="34"/>
        <v/>
      </c>
    </row>
    <row r="2215" spans="1:1" x14ac:dyDescent="0.2">
      <c r="A2215" s="49" t="str">
        <f t="shared" si="34"/>
        <v/>
      </c>
    </row>
    <row r="2216" spans="1:1" x14ac:dyDescent="0.2">
      <c r="A2216" s="49" t="str">
        <f t="shared" si="34"/>
        <v/>
      </c>
    </row>
    <row r="2217" spans="1:1" x14ac:dyDescent="0.2">
      <c r="A2217" s="49" t="str">
        <f t="shared" si="34"/>
        <v/>
      </c>
    </row>
    <row r="2218" spans="1:1" x14ac:dyDescent="0.2">
      <c r="A2218" s="49" t="str">
        <f t="shared" si="34"/>
        <v/>
      </c>
    </row>
    <row r="2219" spans="1:1" x14ac:dyDescent="0.2">
      <c r="A2219" s="49" t="str">
        <f t="shared" si="34"/>
        <v/>
      </c>
    </row>
    <row r="2220" spans="1:1" x14ac:dyDescent="0.2">
      <c r="A2220" s="49" t="str">
        <f t="shared" si="34"/>
        <v/>
      </c>
    </row>
    <row r="2221" spans="1:1" x14ac:dyDescent="0.2">
      <c r="A2221" s="49" t="str">
        <f t="shared" si="34"/>
        <v/>
      </c>
    </row>
    <row r="2222" spans="1:1" x14ac:dyDescent="0.2">
      <c r="A2222" s="49" t="str">
        <f t="shared" si="34"/>
        <v/>
      </c>
    </row>
    <row r="2223" spans="1:1" x14ac:dyDescent="0.2">
      <c r="A2223" s="49" t="str">
        <f t="shared" si="34"/>
        <v/>
      </c>
    </row>
    <row r="2224" spans="1:1" x14ac:dyDescent="0.2">
      <c r="A2224" s="49" t="str">
        <f t="shared" si="34"/>
        <v/>
      </c>
    </row>
    <row r="2225" spans="1:1" x14ac:dyDescent="0.2">
      <c r="A2225" s="49" t="str">
        <f t="shared" si="34"/>
        <v/>
      </c>
    </row>
    <row r="2226" spans="1:1" x14ac:dyDescent="0.2">
      <c r="A2226" s="49" t="str">
        <f t="shared" si="34"/>
        <v/>
      </c>
    </row>
    <row r="2227" spans="1:1" x14ac:dyDescent="0.2">
      <c r="A2227" s="49" t="str">
        <f t="shared" si="34"/>
        <v/>
      </c>
    </row>
    <row r="2228" spans="1:1" x14ac:dyDescent="0.2">
      <c r="A2228" s="49" t="str">
        <f t="shared" si="34"/>
        <v/>
      </c>
    </row>
    <row r="2229" spans="1:1" x14ac:dyDescent="0.2">
      <c r="A2229" s="49" t="str">
        <f t="shared" si="34"/>
        <v/>
      </c>
    </row>
    <row r="2230" spans="1:1" x14ac:dyDescent="0.2">
      <c r="A2230" s="49" t="str">
        <f t="shared" si="34"/>
        <v/>
      </c>
    </row>
    <row r="2231" spans="1:1" x14ac:dyDescent="0.2">
      <c r="A2231" s="49" t="str">
        <f t="shared" si="34"/>
        <v/>
      </c>
    </row>
    <row r="2232" spans="1:1" x14ac:dyDescent="0.2">
      <c r="A2232" s="49" t="str">
        <f t="shared" si="34"/>
        <v/>
      </c>
    </row>
    <row r="2233" spans="1:1" x14ac:dyDescent="0.2">
      <c r="A2233" s="49" t="str">
        <f t="shared" si="34"/>
        <v/>
      </c>
    </row>
    <row r="2234" spans="1:1" x14ac:dyDescent="0.2">
      <c r="A2234" s="49" t="str">
        <f t="shared" si="34"/>
        <v/>
      </c>
    </row>
    <row r="2235" spans="1:1" x14ac:dyDescent="0.2">
      <c r="A2235" s="49" t="str">
        <f t="shared" si="34"/>
        <v/>
      </c>
    </row>
    <row r="2236" spans="1:1" x14ac:dyDescent="0.2">
      <c r="A2236" s="49" t="str">
        <f t="shared" si="34"/>
        <v/>
      </c>
    </row>
    <row r="2237" spans="1:1" x14ac:dyDescent="0.2">
      <c r="A2237" s="49" t="str">
        <f t="shared" si="34"/>
        <v/>
      </c>
    </row>
    <row r="2238" spans="1:1" x14ac:dyDescent="0.2">
      <c r="A2238" s="49" t="str">
        <f t="shared" si="34"/>
        <v/>
      </c>
    </row>
    <row r="2239" spans="1:1" x14ac:dyDescent="0.2">
      <c r="A2239" s="49" t="str">
        <f t="shared" si="34"/>
        <v/>
      </c>
    </row>
    <row r="2240" spans="1:1" x14ac:dyDescent="0.2">
      <c r="A2240" s="49" t="str">
        <f t="shared" si="34"/>
        <v/>
      </c>
    </row>
    <row r="2241" spans="1:1" x14ac:dyDescent="0.2">
      <c r="A2241" s="49" t="str">
        <f t="shared" si="34"/>
        <v/>
      </c>
    </row>
    <row r="2242" spans="1:1" x14ac:dyDescent="0.2">
      <c r="A2242" s="49" t="str">
        <f t="shared" si="34"/>
        <v/>
      </c>
    </row>
    <row r="2243" spans="1:1" x14ac:dyDescent="0.2">
      <c r="A2243" s="49" t="str">
        <f t="shared" si="34"/>
        <v/>
      </c>
    </row>
    <row r="2244" spans="1:1" x14ac:dyDescent="0.2">
      <c r="A2244" s="49" t="str">
        <f t="shared" ref="A2244:A2307" si="35">IF(AND(B2243&lt;&gt;"",B2244=""),$A$2&amp;"---&gt;","")</f>
        <v/>
      </c>
    </row>
    <row r="2245" spans="1:1" x14ac:dyDescent="0.2">
      <c r="A2245" s="49" t="str">
        <f t="shared" si="35"/>
        <v/>
      </c>
    </row>
    <row r="2246" spans="1:1" x14ac:dyDescent="0.2">
      <c r="A2246" s="49" t="str">
        <f t="shared" si="35"/>
        <v/>
      </c>
    </row>
    <row r="2247" spans="1:1" x14ac:dyDescent="0.2">
      <c r="A2247" s="49" t="str">
        <f t="shared" si="35"/>
        <v/>
      </c>
    </row>
    <row r="2248" spans="1:1" x14ac:dyDescent="0.2">
      <c r="A2248" s="49" t="str">
        <f t="shared" si="35"/>
        <v/>
      </c>
    </row>
    <row r="2249" spans="1:1" x14ac:dyDescent="0.2">
      <c r="A2249" s="49" t="str">
        <f t="shared" si="35"/>
        <v/>
      </c>
    </row>
    <row r="2250" spans="1:1" x14ac:dyDescent="0.2">
      <c r="A2250" s="49" t="str">
        <f t="shared" si="35"/>
        <v/>
      </c>
    </row>
    <row r="2251" spans="1:1" x14ac:dyDescent="0.2">
      <c r="A2251" s="49" t="str">
        <f t="shared" si="35"/>
        <v/>
      </c>
    </row>
    <row r="2252" spans="1:1" x14ac:dyDescent="0.2">
      <c r="A2252" s="49" t="str">
        <f t="shared" si="35"/>
        <v/>
      </c>
    </row>
    <row r="2253" spans="1:1" x14ac:dyDescent="0.2">
      <c r="A2253" s="49" t="str">
        <f t="shared" si="35"/>
        <v/>
      </c>
    </row>
    <row r="2254" spans="1:1" x14ac:dyDescent="0.2">
      <c r="A2254" s="49" t="str">
        <f t="shared" si="35"/>
        <v/>
      </c>
    </row>
    <row r="2255" spans="1:1" x14ac:dyDescent="0.2">
      <c r="A2255" s="49" t="str">
        <f t="shared" si="35"/>
        <v/>
      </c>
    </row>
    <row r="2256" spans="1:1" x14ac:dyDescent="0.2">
      <c r="A2256" s="49" t="str">
        <f t="shared" si="35"/>
        <v/>
      </c>
    </row>
    <row r="2257" spans="1:1" x14ac:dyDescent="0.2">
      <c r="A2257" s="49" t="str">
        <f t="shared" si="35"/>
        <v/>
      </c>
    </row>
    <row r="2258" spans="1:1" x14ac:dyDescent="0.2">
      <c r="A2258" s="49" t="str">
        <f t="shared" si="35"/>
        <v/>
      </c>
    </row>
    <row r="2259" spans="1:1" x14ac:dyDescent="0.2">
      <c r="A2259" s="49" t="str">
        <f t="shared" si="35"/>
        <v/>
      </c>
    </row>
    <row r="2260" spans="1:1" x14ac:dyDescent="0.2">
      <c r="A2260" s="49" t="str">
        <f t="shared" si="35"/>
        <v/>
      </c>
    </row>
    <row r="2261" spans="1:1" x14ac:dyDescent="0.2">
      <c r="A2261" s="49" t="str">
        <f t="shared" si="35"/>
        <v/>
      </c>
    </row>
    <row r="2262" spans="1:1" x14ac:dyDescent="0.2">
      <c r="A2262" s="49" t="str">
        <f t="shared" si="35"/>
        <v/>
      </c>
    </row>
    <row r="2263" spans="1:1" x14ac:dyDescent="0.2">
      <c r="A2263" s="49" t="str">
        <f t="shared" si="35"/>
        <v/>
      </c>
    </row>
    <row r="2264" spans="1:1" x14ac:dyDescent="0.2">
      <c r="A2264" s="49" t="str">
        <f t="shared" si="35"/>
        <v/>
      </c>
    </row>
    <row r="2265" spans="1:1" x14ac:dyDescent="0.2">
      <c r="A2265" s="49" t="str">
        <f t="shared" si="35"/>
        <v/>
      </c>
    </row>
    <row r="2266" spans="1:1" x14ac:dyDescent="0.2">
      <c r="A2266" s="49" t="str">
        <f t="shared" si="35"/>
        <v/>
      </c>
    </row>
    <row r="2267" spans="1:1" x14ac:dyDescent="0.2">
      <c r="A2267" s="49" t="str">
        <f t="shared" si="35"/>
        <v/>
      </c>
    </row>
    <row r="2268" spans="1:1" x14ac:dyDescent="0.2">
      <c r="A2268" s="49" t="str">
        <f t="shared" si="35"/>
        <v/>
      </c>
    </row>
    <row r="2269" spans="1:1" x14ac:dyDescent="0.2">
      <c r="A2269" s="49" t="str">
        <f t="shared" si="35"/>
        <v/>
      </c>
    </row>
    <row r="2270" spans="1:1" x14ac:dyDescent="0.2">
      <c r="A2270" s="49" t="str">
        <f t="shared" si="35"/>
        <v/>
      </c>
    </row>
    <row r="2271" spans="1:1" x14ac:dyDescent="0.2">
      <c r="A2271" s="49" t="str">
        <f t="shared" si="35"/>
        <v/>
      </c>
    </row>
    <row r="2272" spans="1:1" x14ac:dyDescent="0.2">
      <c r="A2272" s="49" t="str">
        <f t="shared" si="35"/>
        <v/>
      </c>
    </row>
    <row r="2273" spans="1:1" x14ac:dyDescent="0.2">
      <c r="A2273" s="49" t="str">
        <f t="shared" si="35"/>
        <v/>
      </c>
    </row>
    <row r="2274" spans="1:1" x14ac:dyDescent="0.2">
      <c r="A2274" s="49" t="str">
        <f t="shared" si="35"/>
        <v/>
      </c>
    </row>
    <row r="2275" spans="1:1" x14ac:dyDescent="0.2">
      <c r="A2275" s="49" t="str">
        <f t="shared" si="35"/>
        <v/>
      </c>
    </row>
    <row r="2276" spans="1:1" x14ac:dyDescent="0.2">
      <c r="A2276" s="49" t="str">
        <f t="shared" si="35"/>
        <v/>
      </c>
    </row>
    <row r="2277" spans="1:1" x14ac:dyDescent="0.2">
      <c r="A2277" s="49" t="str">
        <f t="shared" si="35"/>
        <v/>
      </c>
    </row>
    <row r="2278" spans="1:1" x14ac:dyDescent="0.2">
      <c r="A2278" s="49" t="str">
        <f t="shared" si="35"/>
        <v/>
      </c>
    </row>
    <row r="2279" spans="1:1" x14ac:dyDescent="0.2">
      <c r="A2279" s="49" t="str">
        <f t="shared" si="35"/>
        <v/>
      </c>
    </row>
    <row r="2280" spans="1:1" x14ac:dyDescent="0.2">
      <c r="A2280" s="49" t="str">
        <f t="shared" si="35"/>
        <v/>
      </c>
    </row>
    <row r="2281" spans="1:1" x14ac:dyDescent="0.2">
      <c r="A2281" s="49" t="str">
        <f t="shared" si="35"/>
        <v/>
      </c>
    </row>
    <row r="2282" spans="1:1" x14ac:dyDescent="0.2">
      <c r="A2282" s="49" t="str">
        <f t="shared" si="35"/>
        <v/>
      </c>
    </row>
    <row r="2283" spans="1:1" x14ac:dyDescent="0.2">
      <c r="A2283" s="49" t="str">
        <f t="shared" si="35"/>
        <v/>
      </c>
    </row>
    <row r="2284" spans="1:1" x14ac:dyDescent="0.2">
      <c r="A2284" s="49" t="str">
        <f t="shared" si="35"/>
        <v/>
      </c>
    </row>
    <row r="2285" spans="1:1" x14ac:dyDescent="0.2">
      <c r="A2285" s="49" t="str">
        <f t="shared" si="35"/>
        <v/>
      </c>
    </row>
    <row r="2286" spans="1:1" x14ac:dyDescent="0.2">
      <c r="A2286" s="49" t="str">
        <f t="shared" si="35"/>
        <v/>
      </c>
    </row>
    <row r="2287" spans="1:1" x14ac:dyDescent="0.2">
      <c r="A2287" s="49" t="str">
        <f t="shared" si="35"/>
        <v/>
      </c>
    </row>
    <row r="2288" spans="1:1" x14ac:dyDescent="0.2">
      <c r="A2288" s="49" t="str">
        <f t="shared" si="35"/>
        <v/>
      </c>
    </row>
    <row r="2289" spans="1:1" x14ac:dyDescent="0.2">
      <c r="A2289" s="49" t="str">
        <f t="shared" si="35"/>
        <v/>
      </c>
    </row>
    <row r="2290" spans="1:1" x14ac:dyDescent="0.2">
      <c r="A2290" s="49" t="str">
        <f t="shared" si="35"/>
        <v/>
      </c>
    </row>
    <row r="2291" spans="1:1" x14ac:dyDescent="0.2">
      <c r="A2291" s="49" t="str">
        <f t="shared" si="35"/>
        <v/>
      </c>
    </row>
    <row r="2292" spans="1:1" x14ac:dyDescent="0.2">
      <c r="A2292" s="49" t="str">
        <f t="shared" si="35"/>
        <v/>
      </c>
    </row>
    <row r="2293" spans="1:1" x14ac:dyDescent="0.2">
      <c r="A2293" s="49" t="str">
        <f t="shared" si="35"/>
        <v/>
      </c>
    </row>
    <row r="2294" spans="1:1" x14ac:dyDescent="0.2">
      <c r="A2294" s="49" t="str">
        <f t="shared" si="35"/>
        <v/>
      </c>
    </row>
    <row r="2295" spans="1:1" x14ac:dyDescent="0.2">
      <c r="A2295" s="49" t="str">
        <f t="shared" si="35"/>
        <v/>
      </c>
    </row>
    <row r="2296" spans="1:1" x14ac:dyDescent="0.2">
      <c r="A2296" s="49" t="str">
        <f t="shared" si="35"/>
        <v/>
      </c>
    </row>
    <row r="2297" spans="1:1" x14ac:dyDescent="0.2">
      <c r="A2297" s="49" t="str">
        <f t="shared" si="35"/>
        <v/>
      </c>
    </row>
    <row r="2298" spans="1:1" x14ac:dyDescent="0.2">
      <c r="A2298" s="49" t="str">
        <f t="shared" si="35"/>
        <v/>
      </c>
    </row>
    <row r="2299" spans="1:1" x14ac:dyDescent="0.2">
      <c r="A2299" s="49" t="str">
        <f t="shared" si="35"/>
        <v/>
      </c>
    </row>
    <row r="2300" spans="1:1" x14ac:dyDescent="0.2">
      <c r="A2300" s="49" t="str">
        <f t="shared" si="35"/>
        <v/>
      </c>
    </row>
    <row r="2301" spans="1:1" x14ac:dyDescent="0.2">
      <c r="A2301" s="49" t="str">
        <f t="shared" si="35"/>
        <v/>
      </c>
    </row>
    <row r="2302" spans="1:1" x14ac:dyDescent="0.2">
      <c r="A2302" s="49" t="str">
        <f t="shared" si="35"/>
        <v/>
      </c>
    </row>
    <row r="2303" spans="1:1" x14ac:dyDescent="0.2">
      <c r="A2303" s="49" t="str">
        <f t="shared" si="35"/>
        <v/>
      </c>
    </row>
    <row r="2304" spans="1:1" x14ac:dyDescent="0.2">
      <c r="A2304" s="49" t="str">
        <f t="shared" si="35"/>
        <v/>
      </c>
    </row>
    <row r="2305" spans="1:1" x14ac:dyDescent="0.2">
      <c r="A2305" s="49" t="str">
        <f t="shared" si="35"/>
        <v/>
      </c>
    </row>
    <row r="2306" spans="1:1" x14ac:dyDescent="0.2">
      <c r="A2306" s="49" t="str">
        <f t="shared" si="35"/>
        <v/>
      </c>
    </row>
    <row r="2307" spans="1:1" x14ac:dyDescent="0.2">
      <c r="A2307" s="49" t="str">
        <f t="shared" si="35"/>
        <v/>
      </c>
    </row>
    <row r="2308" spans="1:1" x14ac:dyDescent="0.2">
      <c r="A2308" s="49" t="str">
        <f t="shared" ref="A2308:A2371" si="36">IF(AND(B2307&lt;&gt;"",B2308=""),$A$2&amp;"---&gt;","")</f>
        <v/>
      </c>
    </row>
    <row r="2309" spans="1:1" x14ac:dyDescent="0.2">
      <c r="A2309" s="49" t="str">
        <f t="shared" si="36"/>
        <v/>
      </c>
    </row>
    <row r="2310" spans="1:1" x14ac:dyDescent="0.2">
      <c r="A2310" s="49" t="str">
        <f t="shared" si="36"/>
        <v/>
      </c>
    </row>
    <row r="2311" spans="1:1" x14ac:dyDescent="0.2">
      <c r="A2311" s="49" t="str">
        <f t="shared" si="36"/>
        <v/>
      </c>
    </row>
    <row r="2312" spans="1:1" x14ac:dyDescent="0.2">
      <c r="A2312" s="49" t="str">
        <f t="shared" si="36"/>
        <v/>
      </c>
    </row>
    <row r="2313" spans="1:1" x14ac:dyDescent="0.2">
      <c r="A2313" s="49" t="str">
        <f t="shared" si="36"/>
        <v/>
      </c>
    </row>
    <row r="2314" spans="1:1" x14ac:dyDescent="0.2">
      <c r="A2314" s="49" t="str">
        <f t="shared" si="36"/>
        <v/>
      </c>
    </row>
    <row r="2315" spans="1:1" x14ac:dyDescent="0.2">
      <c r="A2315" s="49" t="str">
        <f t="shared" si="36"/>
        <v/>
      </c>
    </row>
    <row r="2316" spans="1:1" x14ac:dyDescent="0.2">
      <c r="A2316" s="49" t="str">
        <f t="shared" si="36"/>
        <v/>
      </c>
    </row>
    <row r="2317" spans="1:1" x14ac:dyDescent="0.2">
      <c r="A2317" s="49" t="str">
        <f t="shared" si="36"/>
        <v/>
      </c>
    </row>
    <row r="2318" spans="1:1" x14ac:dyDescent="0.2">
      <c r="A2318" s="49" t="str">
        <f t="shared" si="36"/>
        <v/>
      </c>
    </row>
    <row r="2319" spans="1:1" x14ac:dyDescent="0.2">
      <c r="A2319" s="49" t="str">
        <f t="shared" si="36"/>
        <v/>
      </c>
    </row>
    <row r="2320" spans="1:1" x14ac:dyDescent="0.2">
      <c r="A2320" s="49" t="str">
        <f t="shared" si="36"/>
        <v/>
      </c>
    </row>
    <row r="2321" spans="1:1" x14ac:dyDescent="0.2">
      <c r="A2321" s="49" t="str">
        <f t="shared" si="36"/>
        <v/>
      </c>
    </row>
    <row r="2322" spans="1:1" x14ac:dyDescent="0.2">
      <c r="A2322" s="49" t="str">
        <f t="shared" si="36"/>
        <v/>
      </c>
    </row>
    <row r="2323" spans="1:1" x14ac:dyDescent="0.2">
      <c r="A2323" s="49" t="str">
        <f t="shared" si="36"/>
        <v/>
      </c>
    </row>
    <row r="2324" spans="1:1" x14ac:dyDescent="0.2">
      <c r="A2324" s="49" t="str">
        <f t="shared" si="36"/>
        <v/>
      </c>
    </row>
    <row r="2325" spans="1:1" x14ac:dyDescent="0.2">
      <c r="A2325" s="49" t="str">
        <f t="shared" si="36"/>
        <v/>
      </c>
    </row>
    <row r="2326" spans="1:1" x14ac:dyDescent="0.2">
      <c r="A2326" s="49" t="str">
        <f t="shared" si="36"/>
        <v/>
      </c>
    </row>
    <row r="2327" spans="1:1" x14ac:dyDescent="0.2">
      <c r="A2327" s="49" t="str">
        <f t="shared" si="36"/>
        <v/>
      </c>
    </row>
    <row r="2328" spans="1:1" x14ac:dyDescent="0.2">
      <c r="A2328" s="49" t="str">
        <f t="shared" si="36"/>
        <v/>
      </c>
    </row>
    <row r="2329" spans="1:1" x14ac:dyDescent="0.2">
      <c r="A2329" s="49" t="str">
        <f t="shared" si="36"/>
        <v/>
      </c>
    </row>
    <row r="2330" spans="1:1" x14ac:dyDescent="0.2">
      <c r="A2330" s="49" t="str">
        <f t="shared" si="36"/>
        <v/>
      </c>
    </row>
    <row r="2331" spans="1:1" x14ac:dyDescent="0.2">
      <c r="A2331" s="49" t="str">
        <f t="shared" si="36"/>
        <v/>
      </c>
    </row>
    <row r="2332" spans="1:1" x14ac:dyDescent="0.2">
      <c r="A2332" s="49" t="str">
        <f t="shared" si="36"/>
        <v/>
      </c>
    </row>
    <row r="2333" spans="1:1" x14ac:dyDescent="0.2">
      <c r="A2333" s="49" t="str">
        <f t="shared" si="36"/>
        <v/>
      </c>
    </row>
    <row r="2334" spans="1:1" x14ac:dyDescent="0.2">
      <c r="A2334" s="49" t="str">
        <f t="shared" si="36"/>
        <v/>
      </c>
    </row>
    <row r="2335" spans="1:1" x14ac:dyDescent="0.2">
      <c r="A2335" s="49" t="str">
        <f t="shared" si="36"/>
        <v/>
      </c>
    </row>
    <row r="2336" spans="1:1" x14ac:dyDescent="0.2">
      <c r="A2336" s="49" t="str">
        <f t="shared" si="36"/>
        <v/>
      </c>
    </row>
    <row r="2337" spans="1:1" x14ac:dyDescent="0.2">
      <c r="A2337" s="49" t="str">
        <f t="shared" si="36"/>
        <v/>
      </c>
    </row>
    <row r="2338" spans="1:1" x14ac:dyDescent="0.2">
      <c r="A2338" s="49" t="str">
        <f t="shared" si="36"/>
        <v/>
      </c>
    </row>
    <row r="2339" spans="1:1" x14ac:dyDescent="0.2">
      <c r="A2339" s="49" t="str">
        <f t="shared" si="36"/>
        <v/>
      </c>
    </row>
    <row r="2340" spans="1:1" x14ac:dyDescent="0.2">
      <c r="A2340" s="49" t="str">
        <f t="shared" si="36"/>
        <v/>
      </c>
    </row>
    <row r="2341" spans="1:1" x14ac:dyDescent="0.2">
      <c r="A2341" s="49" t="str">
        <f t="shared" si="36"/>
        <v/>
      </c>
    </row>
    <row r="2342" spans="1:1" x14ac:dyDescent="0.2">
      <c r="A2342" s="49" t="str">
        <f t="shared" si="36"/>
        <v/>
      </c>
    </row>
    <row r="2343" spans="1:1" x14ac:dyDescent="0.2">
      <c r="A2343" s="49" t="str">
        <f t="shared" si="36"/>
        <v/>
      </c>
    </row>
    <row r="2344" spans="1:1" x14ac:dyDescent="0.2">
      <c r="A2344" s="49" t="str">
        <f t="shared" si="36"/>
        <v/>
      </c>
    </row>
    <row r="2345" spans="1:1" x14ac:dyDescent="0.2">
      <c r="A2345" s="49" t="str">
        <f t="shared" si="36"/>
        <v/>
      </c>
    </row>
    <row r="2346" spans="1:1" x14ac:dyDescent="0.2">
      <c r="A2346" s="49" t="str">
        <f t="shared" si="36"/>
        <v/>
      </c>
    </row>
    <row r="2347" spans="1:1" x14ac:dyDescent="0.2">
      <c r="A2347" s="49" t="str">
        <f t="shared" si="36"/>
        <v/>
      </c>
    </row>
    <row r="2348" spans="1:1" x14ac:dyDescent="0.2">
      <c r="A2348" s="49" t="str">
        <f t="shared" si="36"/>
        <v/>
      </c>
    </row>
    <row r="2349" spans="1:1" x14ac:dyDescent="0.2">
      <c r="A2349" s="49" t="str">
        <f t="shared" si="36"/>
        <v/>
      </c>
    </row>
    <row r="2350" spans="1:1" x14ac:dyDescent="0.2">
      <c r="A2350" s="49" t="str">
        <f t="shared" si="36"/>
        <v/>
      </c>
    </row>
    <row r="2351" spans="1:1" x14ac:dyDescent="0.2">
      <c r="A2351" s="49" t="str">
        <f t="shared" si="36"/>
        <v/>
      </c>
    </row>
    <row r="2352" spans="1:1" x14ac:dyDescent="0.2">
      <c r="A2352" s="49" t="str">
        <f t="shared" si="36"/>
        <v/>
      </c>
    </row>
    <row r="2353" spans="1:1" x14ac:dyDescent="0.2">
      <c r="A2353" s="49" t="str">
        <f t="shared" si="36"/>
        <v/>
      </c>
    </row>
    <row r="2354" spans="1:1" x14ac:dyDescent="0.2">
      <c r="A2354" s="49" t="str">
        <f t="shared" si="36"/>
        <v/>
      </c>
    </row>
    <row r="2355" spans="1:1" x14ac:dyDescent="0.2">
      <c r="A2355" s="49" t="str">
        <f t="shared" si="36"/>
        <v/>
      </c>
    </row>
    <row r="2356" spans="1:1" x14ac:dyDescent="0.2">
      <c r="A2356" s="49" t="str">
        <f t="shared" si="36"/>
        <v/>
      </c>
    </row>
    <row r="2357" spans="1:1" x14ac:dyDescent="0.2">
      <c r="A2357" s="49" t="str">
        <f t="shared" si="36"/>
        <v/>
      </c>
    </row>
    <row r="2358" spans="1:1" x14ac:dyDescent="0.2">
      <c r="A2358" s="49" t="str">
        <f t="shared" si="36"/>
        <v/>
      </c>
    </row>
    <row r="2359" spans="1:1" x14ac:dyDescent="0.2">
      <c r="A2359" s="49" t="str">
        <f t="shared" si="36"/>
        <v/>
      </c>
    </row>
    <row r="2360" spans="1:1" x14ac:dyDescent="0.2">
      <c r="A2360" s="49" t="str">
        <f t="shared" si="36"/>
        <v/>
      </c>
    </row>
    <row r="2361" spans="1:1" x14ac:dyDescent="0.2">
      <c r="A2361" s="49" t="str">
        <f t="shared" si="36"/>
        <v/>
      </c>
    </row>
    <row r="2362" spans="1:1" x14ac:dyDescent="0.2">
      <c r="A2362" s="49" t="str">
        <f t="shared" si="36"/>
        <v/>
      </c>
    </row>
    <row r="2363" spans="1:1" x14ac:dyDescent="0.2">
      <c r="A2363" s="49" t="str">
        <f t="shared" si="36"/>
        <v/>
      </c>
    </row>
    <row r="2364" spans="1:1" x14ac:dyDescent="0.2">
      <c r="A2364" s="49" t="str">
        <f t="shared" si="36"/>
        <v/>
      </c>
    </row>
    <row r="2365" spans="1:1" x14ac:dyDescent="0.2">
      <c r="A2365" s="49" t="str">
        <f t="shared" si="36"/>
        <v/>
      </c>
    </row>
    <row r="2366" spans="1:1" x14ac:dyDescent="0.2">
      <c r="A2366" s="49" t="str">
        <f t="shared" si="36"/>
        <v/>
      </c>
    </row>
    <row r="2367" spans="1:1" x14ac:dyDescent="0.2">
      <c r="A2367" s="49" t="str">
        <f t="shared" si="36"/>
        <v/>
      </c>
    </row>
    <row r="2368" spans="1:1" x14ac:dyDescent="0.2">
      <c r="A2368" s="49" t="str">
        <f t="shared" si="36"/>
        <v/>
      </c>
    </row>
    <row r="2369" spans="1:1" x14ac:dyDescent="0.2">
      <c r="A2369" s="49" t="str">
        <f t="shared" si="36"/>
        <v/>
      </c>
    </row>
    <row r="2370" spans="1:1" x14ac:dyDescent="0.2">
      <c r="A2370" s="49" t="str">
        <f t="shared" si="36"/>
        <v/>
      </c>
    </row>
    <row r="2371" spans="1:1" x14ac:dyDescent="0.2">
      <c r="A2371" s="49" t="str">
        <f t="shared" si="36"/>
        <v/>
      </c>
    </row>
    <row r="2372" spans="1:1" x14ac:dyDescent="0.2">
      <c r="A2372" s="49" t="str">
        <f t="shared" ref="A2372:A2435" si="37">IF(AND(B2371&lt;&gt;"",B2372=""),$A$2&amp;"---&gt;","")</f>
        <v/>
      </c>
    </row>
    <row r="2373" spans="1:1" x14ac:dyDescent="0.2">
      <c r="A2373" s="49" t="str">
        <f t="shared" si="37"/>
        <v/>
      </c>
    </row>
    <row r="2374" spans="1:1" x14ac:dyDescent="0.2">
      <c r="A2374" s="49" t="str">
        <f t="shared" si="37"/>
        <v/>
      </c>
    </row>
    <row r="2375" spans="1:1" x14ac:dyDescent="0.2">
      <c r="A2375" s="49" t="str">
        <f t="shared" si="37"/>
        <v/>
      </c>
    </row>
    <row r="2376" spans="1:1" x14ac:dyDescent="0.2">
      <c r="A2376" s="49" t="str">
        <f t="shared" si="37"/>
        <v/>
      </c>
    </row>
    <row r="2377" spans="1:1" x14ac:dyDescent="0.2">
      <c r="A2377" s="49" t="str">
        <f t="shared" si="37"/>
        <v/>
      </c>
    </row>
    <row r="2378" spans="1:1" x14ac:dyDescent="0.2">
      <c r="A2378" s="49" t="str">
        <f t="shared" si="37"/>
        <v/>
      </c>
    </row>
    <row r="2379" spans="1:1" x14ac:dyDescent="0.2">
      <c r="A2379" s="49" t="str">
        <f t="shared" si="37"/>
        <v/>
      </c>
    </row>
    <row r="2380" spans="1:1" x14ac:dyDescent="0.2">
      <c r="A2380" s="49" t="str">
        <f t="shared" si="37"/>
        <v/>
      </c>
    </row>
    <row r="2381" spans="1:1" x14ac:dyDescent="0.2">
      <c r="A2381" s="49" t="str">
        <f t="shared" si="37"/>
        <v/>
      </c>
    </row>
    <row r="2382" spans="1:1" x14ac:dyDescent="0.2">
      <c r="A2382" s="49" t="str">
        <f t="shared" si="37"/>
        <v/>
      </c>
    </row>
    <row r="2383" spans="1:1" x14ac:dyDescent="0.2">
      <c r="A2383" s="49" t="str">
        <f t="shared" si="37"/>
        <v/>
      </c>
    </row>
    <row r="2384" spans="1:1" x14ac:dyDescent="0.2">
      <c r="A2384" s="49" t="str">
        <f t="shared" si="37"/>
        <v/>
      </c>
    </row>
    <row r="2385" spans="1:1" x14ac:dyDescent="0.2">
      <c r="A2385" s="49" t="str">
        <f t="shared" si="37"/>
        <v/>
      </c>
    </row>
    <row r="2386" spans="1:1" x14ac:dyDescent="0.2">
      <c r="A2386" s="49" t="str">
        <f t="shared" si="37"/>
        <v/>
      </c>
    </row>
    <row r="2387" spans="1:1" x14ac:dyDescent="0.2">
      <c r="A2387" s="49" t="str">
        <f t="shared" si="37"/>
        <v/>
      </c>
    </row>
    <row r="2388" spans="1:1" x14ac:dyDescent="0.2">
      <c r="A2388" s="49" t="str">
        <f t="shared" si="37"/>
        <v/>
      </c>
    </row>
    <row r="2389" spans="1:1" x14ac:dyDescent="0.2">
      <c r="A2389" s="49" t="str">
        <f t="shared" si="37"/>
        <v/>
      </c>
    </row>
    <row r="2390" spans="1:1" x14ac:dyDescent="0.2">
      <c r="A2390" s="49" t="str">
        <f t="shared" si="37"/>
        <v/>
      </c>
    </row>
    <row r="2391" spans="1:1" x14ac:dyDescent="0.2">
      <c r="A2391" s="49" t="str">
        <f t="shared" si="37"/>
        <v/>
      </c>
    </row>
    <row r="2392" spans="1:1" x14ac:dyDescent="0.2">
      <c r="A2392" s="49" t="str">
        <f t="shared" si="37"/>
        <v/>
      </c>
    </row>
    <row r="2393" spans="1:1" x14ac:dyDescent="0.2">
      <c r="A2393" s="49" t="str">
        <f t="shared" si="37"/>
        <v/>
      </c>
    </row>
    <row r="2394" spans="1:1" x14ac:dyDescent="0.2">
      <c r="A2394" s="49" t="str">
        <f t="shared" si="37"/>
        <v/>
      </c>
    </row>
    <row r="2395" spans="1:1" x14ac:dyDescent="0.2">
      <c r="A2395" s="49" t="str">
        <f t="shared" si="37"/>
        <v/>
      </c>
    </row>
    <row r="2396" spans="1:1" x14ac:dyDescent="0.2">
      <c r="A2396" s="49" t="str">
        <f t="shared" si="37"/>
        <v/>
      </c>
    </row>
    <row r="2397" spans="1:1" x14ac:dyDescent="0.2">
      <c r="A2397" s="49" t="str">
        <f t="shared" si="37"/>
        <v/>
      </c>
    </row>
    <row r="2398" spans="1:1" x14ac:dyDescent="0.2">
      <c r="A2398" s="49" t="str">
        <f t="shared" si="37"/>
        <v/>
      </c>
    </row>
    <row r="2399" spans="1:1" x14ac:dyDescent="0.2">
      <c r="A2399" s="49" t="str">
        <f t="shared" si="37"/>
        <v/>
      </c>
    </row>
    <row r="2400" spans="1:1" x14ac:dyDescent="0.2">
      <c r="A2400" s="49" t="str">
        <f t="shared" si="37"/>
        <v/>
      </c>
    </row>
    <row r="2401" spans="1:1" x14ac:dyDescent="0.2">
      <c r="A2401" s="49" t="str">
        <f t="shared" si="37"/>
        <v/>
      </c>
    </row>
    <row r="2402" spans="1:1" x14ac:dyDescent="0.2">
      <c r="A2402" s="49" t="str">
        <f t="shared" si="37"/>
        <v/>
      </c>
    </row>
    <row r="2403" spans="1:1" x14ac:dyDescent="0.2">
      <c r="A2403" s="49" t="str">
        <f t="shared" si="37"/>
        <v/>
      </c>
    </row>
    <row r="2404" spans="1:1" x14ac:dyDescent="0.2">
      <c r="A2404" s="49" t="str">
        <f t="shared" si="37"/>
        <v/>
      </c>
    </row>
    <row r="2405" spans="1:1" x14ac:dyDescent="0.2">
      <c r="A2405" s="49" t="str">
        <f t="shared" si="37"/>
        <v/>
      </c>
    </row>
    <row r="2406" spans="1:1" x14ac:dyDescent="0.2">
      <c r="A2406" s="49" t="str">
        <f t="shared" si="37"/>
        <v/>
      </c>
    </row>
    <row r="2407" spans="1:1" x14ac:dyDescent="0.2">
      <c r="A2407" s="49" t="str">
        <f t="shared" si="37"/>
        <v/>
      </c>
    </row>
    <row r="2408" spans="1:1" x14ac:dyDescent="0.2">
      <c r="A2408" s="49" t="str">
        <f t="shared" si="37"/>
        <v/>
      </c>
    </row>
    <row r="2409" spans="1:1" x14ac:dyDescent="0.2">
      <c r="A2409" s="49" t="str">
        <f t="shared" si="37"/>
        <v/>
      </c>
    </row>
    <row r="2410" spans="1:1" x14ac:dyDescent="0.2">
      <c r="A2410" s="49" t="str">
        <f t="shared" si="37"/>
        <v/>
      </c>
    </row>
    <row r="2411" spans="1:1" x14ac:dyDescent="0.2">
      <c r="A2411" s="49" t="str">
        <f t="shared" si="37"/>
        <v/>
      </c>
    </row>
    <row r="2412" spans="1:1" x14ac:dyDescent="0.2">
      <c r="A2412" s="49" t="str">
        <f t="shared" si="37"/>
        <v/>
      </c>
    </row>
    <row r="2413" spans="1:1" x14ac:dyDescent="0.2">
      <c r="A2413" s="49" t="str">
        <f t="shared" si="37"/>
        <v/>
      </c>
    </row>
    <row r="2414" spans="1:1" x14ac:dyDescent="0.2">
      <c r="A2414" s="49" t="str">
        <f t="shared" si="37"/>
        <v/>
      </c>
    </row>
    <row r="2415" spans="1:1" x14ac:dyDescent="0.2">
      <c r="A2415" s="49" t="str">
        <f t="shared" si="37"/>
        <v/>
      </c>
    </row>
    <row r="2416" spans="1:1" x14ac:dyDescent="0.2">
      <c r="A2416" s="49" t="str">
        <f t="shared" si="37"/>
        <v/>
      </c>
    </row>
    <row r="2417" spans="1:1" x14ac:dyDescent="0.2">
      <c r="A2417" s="49" t="str">
        <f t="shared" si="37"/>
        <v/>
      </c>
    </row>
    <row r="2418" spans="1:1" x14ac:dyDescent="0.2">
      <c r="A2418" s="49" t="str">
        <f t="shared" si="37"/>
        <v/>
      </c>
    </row>
    <row r="2419" spans="1:1" x14ac:dyDescent="0.2">
      <c r="A2419" s="49" t="str">
        <f t="shared" si="37"/>
        <v/>
      </c>
    </row>
    <row r="2420" spans="1:1" x14ac:dyDescent="0.2">
      <c r="A2420" s="49" t="str">
        <f t="shared" si="37"/>
        <v/>
      </c>
    </row>
    <row r="2421" spans="1:1" x14ac:dyDescent="0.2">
      <c r="A2421" s="49" t="str">
        <f t="shared" si="37"/>
        <v/>
      </c>
    </row>
    <row r="2422" spans="1:1" x14ac:dyDescent="0.2">
      <c r="A2422" s="49" t="str">
        <f t="shared" si="37"/>
        <v/>
      </c>
    </row>
    <row r="2423" spans="1:1" x14ac:dyDescent="0.2">
      <c r="A2423" s="49" t="str">
        <f t="shared" si="37"/>
        <v/>
      </c>
    </row>
    <row r="2424" spans="1:1" x14ac:dyDescent="0.2">
      <c r="A2424" s="49" t="str">
        <f t="shared" si="37"/>
        <v/>
      </c>
    </row>
    <row r="2425" spans="1:1" x14ac:dyDescent="0.2">
      <c r="A2425" s="49" t="str">
        <f t="shared" si="37"/>
        <v/>
      </c>
    </row>
    <row r="2426" spans="1:1" x14ac:dyDescent="0.2">
      <c r="A2426" s="49" t="str">
        <f t="shared" si="37"/>
        <v/>
      </c>
    </row>
    <row r="2427" spans="1:1" x14ac:dyDescent="0.2">
      <c r="A2427" s="49" t="str">
        <f t="shared" si="37"/>
        <v/>
      </c>
    </row>
    <row r="2428" spans="1:1" x14ac:dyDescent="0.2">
      <c r="A2428" s="49" t="str">
        <f t="shared" si="37"/>
        <v/>
      </c>
    </row>
    <row r="2429" spans="1:1" x14ac:dyDescent="0.2">
      <c r="A2429" s="49" t="str">
        <f t="shared" si="37"/>
        <v/>
      </c>
    </row>
    <row r="2430" spans="1:1" x14ac:dyDescent="0.2">
      <c r="A2430" s="49" t="str">
        <f t="shared" si="37"/>
        <v/>
      </c>
    </row>
    <row r="2431" spans="1:1" x14ac:dyDescent="0.2">
      <c r="A2431" s="49" t="str">
        <f t="shared" si="37"/>
        <v/>
      </c>
    </row>
    <row r="2432" spans="1:1" x14ac:dyDescent="0.2">
      <c r="A2432" s="49" t="str">
        <f t="shared" si="37"/>
        <v/>
      </c>
    </row>
    <row r="2433" spans="1:1" x14ac:dyDescent="0.2">
      <c r="A2433" s="49" t="str">
        <f t="shared" si="37"/>
        <v/>
      </c>
    </row>
    <row r="2434" spans="1:1" x14ac:dyDescent="0.2">
      <c r="A2434" s="49" t="str">
        <f t="shared" si="37"/>
        <v/>
      </c>
    </row>
    <row r="2435" spans="1:1" x14ac:dyDescent="0.2">
      <c r="A2435" s="49" t="str">
        <f t="shared" si="37"/>
        <v/>
      </c>
    </row>
    <row r="2436" spans="1:1" x14ac:dyDescent="0.2">
      <c r="A2436" s="49" t="str">
        <f t="shared" ref="A2436:A2499" si="38">IF(AND(B2435&lt;&gt;"",B2436=""),$A$2&amp;"---&gt;","")</f>
        <v/>
      </c>
    </row>
    <row r="2437" spans="1:1" x14ac:dyDescent="0.2">
      <c r="A2437" s="49" t="str">
        <f t="shared" si="38"/>
        <v/>
      </c>
    </row>
    <row r="2438" spans="1:1" x14ac:dyDescent="0.2">
      <c r="A2438" s="49" t="str">
        <f t="shared" si="38"/>
        <v/>
      </c>
    </row>
    <row r="2439" spans="1:1" x14ac:dyDescent="0.2">
      <c r="A2439" s="49" t="str">
        <f t="shared" si="38"/>
        <v/>
      </c>
    </row>
    <row r="2440" spans="1:1" x14ac:dyDescent="0.2">
      <c r="A2440" s="49" t="str">
        <f t="shared" si="38"/>
        <v/>
      </c>
    </row>
    <row r="2441" spans="1:1" x14ac:dyDescent="0.2">
      <c r="A2441" s="49" t="str">
        <f t="shared" si="38"/>
        <v/>
      </c>
    </row>
    <row r="2442" spans="1:1" x14ac:dyDescent="0.2">
      <c r="A2442" s="49" t="str">
        <f t="shared" si="38"/>
        <v/>
      </c>
    </row>
    <row r="2443" spans="1:1" x14ac:dyDescent="0.2">
      <c r="A2443" s="49" t="str">
        <f t="shared" si="38"/>
        <v/>
      </c>
    </row>
    <row r="2444" spans="1:1" x14ac:dyDescent="0.2">
      <c r="A2444" s="49" t="str">
        <f t="shared" si="38"/>
        <v/>
      </c>
    </row>
    <row r="2445" spans="1:1" x14ac:dyDescent="0.2">
      <c r="A2445" s="49" t="str">
        <f t="shared" si="38"/>
        <v/>
      </c>
    </row>
    <row r="2446" spans="1:1" x14ac:dyDescent="0.2">
      <c r="A2446" s="49" t="str">
        <f t="shared" si="38"/>
        <v/>
      </c>
    </row>
    <row r="2447" spans="1:1" x14ac:dyDescent="0.2">
      <c r="A2447" s="49" t="str">
        <f t="shared" si="38"/>
        <v/>
      </c>
    </row>
    <row r="2448" spans="1:1" x14ac:dyDescent="0.2">
      <c r="A2448" s="49" t="str">
        <f t="shared" si="38"/>
        <v/>
      </c>
    </row>
    <row r="2449" spans="1:1" x14ac:dyDescent="0.2">
      <c r="A2449" s="49" t="str">
        <f t="shared" si="38"/>
        <v/>
      </c>
    </row>
    <row r="2450" spans="1:1" x14ac:dyDescent="0.2">
      <c r="A2450" s="49" t="str">
        <f t="shared" si="38"/>
        <v/>
      </c>
    </row>
    <row r="2451" spans="1:1" x14ac:dyDescent="0.2">
      <c r="A2451" s="49" t="str">
        <f t="shared" si="38"/>
        <v/>
      </c>
    </row>
    <row r="2452" spans="1:1" x14ac:dyDescent="0.2">
      <c r="A2452" s="49" t="str">
        <f t="shared" si="38"/>
        <v/>
      </c>
    </row>
    <row r="2453" spans="1:1" x14ac:dyDescent="0.2">
      <c r="A2453" s="49" t="str">
        <f t="shared" si="38"/>
        <v/>
      </c>
    </row>
    <row r="2454" spans="1:1" x14ac:dyDescent="0.2">
      <c r="A2454" s="49" t="str">
        <f t="shared" si="38"/>
        <v/>
      </c>
    </row>
    <row r="2455" spans="1:1" x14ac:dyDescent="0.2">
      <c r="A2455" s="49" t="str">
        <f t="shared" si="38"/>
        <v/>
      </c>
    </row>
    <row r="2456" spans="1:1" x14ac:dyDescent="0.2">
      <c r="A2456" s="49" t="str">
        <f t="shared" si="38"/>
        <v/>
      </c>
    </row>
    <row r="2457" spans="1:1" x14ac:dyDescent="0.2">
      <c r="A2457" s="49" t="str">
        <f t="shared" si="38"/>
        <v/>
      </c>
    </row>
    <row r="2458" spans="1:1" x14ac:dyDescent="0.2">
      <c r="A2458" s="49" t="str">
        <f t="shared" si="38"/>
        <v/>
      </c>
    </row>
    <row r="2459" spans="1:1" x14ac:dyDescent="0.2">
      <c r="A2459" s="49" t="str">
        <f t="shared" si="38"/>
        <v/>
      </c>
    </row>
    <row r="2460" spans="1:1" x14ac:dyDescent="0.2">
      <c r="A2460" s="49" t="str">
        <f t="shared" si="38"/>
        <v/>
      </c>
    </row>
    <row r="2461" spans="1:1" x14ac:dyDescent="0.2">
      <c r="A2461" s="49" t="str">
        <f t="shared" si="38"/>
        <v/>
      </c>
    </row>
    <row r="2462" spans="1:1" x14ac:dyDescent="0.2">
      <c r="A2462" s="49" t="str">
        <f t="shared" si="38"/>
        <v/>
      </c>
    </row>
    <row r="2463" spans="1:1" x14ac:dyDescent="0.2">
      <c r="A2463" s="49" t="str">
        <f t="shared" si="38"/>
        <v/>
      </c>
    </row>
    <row r="2464" spans="1:1" x14ac:dyDescent="0.2">
      <c r="A2464" s="49" t="str">
        <f t="shared" si="38"/>
        <v/>
      </c>
    </row>
    <row r="2465" spans="1:1" x14ac:dyDescent="0.2">
      <c r="A2465" s="49" t="str">
        <f t="shared" si="38"/>
        <v/>
      </c>
    </row>
    <row r="2466" spans="1:1" x14ac:dyDescent="0.2">
      <c r="A2466" s="49" t="str">
        <f t="shared" si="38"/>
        <v/>
      </c>
    </row>
    <row r="2467" spans="1:1" x14ac:dyDescent="0.2">
      <c r="A2467" s="49" t="str">
        <f t="shared" si="38"/>
        <v/>
      </c>
    </row>
    <row r="2468" spans="1:1" x14ac:dyDescent="0.2">
      <c r="A2468" s="49" t="str">
        <f t="shared" si="38"/>
        <v/>
      </c>
    </row>
    <row r="2469" spans="1:1" x14ac:dyDescent="0.2">
      <c r="A2469" s="49" t="str">
        <f t="shared" si="38"/>
        <v/>
      </c>
    </row>
    <row r="2470" spans="1:1" x14ac:dyDescent="0.2">
      <c r="A2470" s="49" t="str">
        <f t="shared" si="38"/>
        <v/>
      </c>
    </row>
    <row r="2471" spans="1:1" x14ac:dyDescent="0.2">
      <c r="A2471" s="49" t="str">
        <f t="shared" si="38"/>
        <v/>
      </c>
    </row>
    <row r="2472" spans="1:1" x14ac:dyDescent="0.2">
      <c r="A2472" s="49" t="str">
        <f t="shared" si="38"/>
        <v/>
      </c>
    </row>
    <row r="2473" spans="1:1" x14ac:dyDescent="0.2">
      <c r="A2473" s="49" t="str">
        <f t="shared" si="38"/>
        <v/>
      </c>
    </row>
    <row r="2474" spans="1:1" x14ac:dyDescent="0.2">
      <c r="A2474" s="49" t="str">
        <f t="shared" si="38"/>
        <v/>
      </c>
    </row>
    <row r="2475" spans="1:1" x14ac:dyDescent="0.2">
      <c r="A2475" s="49" t="str">
        <f t="shared" si="38"/>
        <v/>
      </c>
    </row>
    <row r="2476" spans="1:1" x14ac:dyDescent="0.2">
      <c r="A2476" s="49" t="str">
        <f t="shared" si="38"/>
        <v/>
      </c>
    </row>
    <row r="2477" spans="1:1" x14ac:dyDescent="0.2">
      <c r="A2477" s="49" t="str">
        <f t="shared" si="38"/>
        <v/>
      </c>
    </row>
    <row r="2478" spans="1:1" x14ac:dyDescent="0.2">
      <c r="A2478" s="49" t="str">
        <f t="shared" si="38"/>
        <v/>
      </c>
    </row>
    <row r="2479" spans="1:1" x14ac:dyDescent="0.2">
      <c r="A2479" s="49" t="str">
        <f t="shared" si="38"/>
        <v/>
      </c>
    </row>
    <row r="2480" spans="1:1" x14ac:dyDescent="0.2">
      <c r="A2480" s="49" t="str">
        <f t="shared" si="38"/>
        <v/>
      </c>
    </row>
    <row r="2481" spans="1:1" x14ac:dyDescent="0.2">
      <c r="A2481" s="49" t="str">
        <f t="shared" si="38"/>
        <v/>
      </c>
    </row>
    <row r="2482" spans="1:1" x14ac:dyDescent="0.2">
      <c r="A2482" s="49" t="str">
        <f t="shared" si="38"/>
        <v/>
      </c>
    </row>
    <row r="2483" spans="1:1" x14ac:dyDescent="0.2">
      <c r="A2483" s="49" t="str">
        <f t="shared" si="38"/>
        <v/>
      </c>
    </row>
    <row r="2484" spans="1:1" x14ac:dyDescent="0.2">
      <c r="A2484" s="49" t="str">
        <f t="shared" si="38"/>
        <v/>
      </c>
    </row>
    <row r="2485" spans="1:1" x14ac:dyDescent="0.2">
      <c r="A2485" s="49" t="str">
        <f t="shared" si="38"/>
        <v/>
      </c>
    </row>
    <row r="2486" spans="1:1" x14ac:dyDescent="0.2">
      <c r="A2486" s="49" t="str">
        <f t="shared" si="38"/>
        <v/>
      </c>
    </row>
    <row r="2487" spans="1:1" x14ac:dyDescent="0.2">
      <c r="A2487" s="49" t="str">
        <f t="shared" si="38"/>
        <v/>
      </c>
    </row>
    <row r="2488" spans="1:1" x14ac:dyDescent="0.2">
      <c r="A2488" s="49" t="str">
        <f t="shared" si="38"/>
        <v/>
      </c>
    </row>
    <row r="2489" spans="1:1" x14ac:dyDescent="0.2">
      <c r="A2489" s="49" t="str">
        <f t="shared" si="38"/>
        <v/>
      </c>
    </row>
    <row r="2490" spans="1:1" x14ac:dyDescent="0.2">
      <c r="A2490" s="49" t="str">
        <f t="shared" si="38"/>
        <v/>
      </c>
    </row>
    <row r="2491" spans="1:1" x14ac:dyDescent="0.2">
      <c r="A2491" s="49" t="str">
        <f t="shared" si="38"/>
        <v/>
      </c>
    </row>
    <row r="2492" spans="1:1" x14ac:dyDescent="0.2">
      <c r="A2492" s="49" t="str">
        <f t="shared" si="38"/>
        <v/>
      </c>
    </row>
    <row r="2493" spans="1:1" x14ac:dyDescent="0.2">
      <c r="A2493" s="49" t="str">
        <f t="shared" si="38"/>
        <v/>
      </c>
    </row>
    <row r="2494" spans="1:1" x14ac:dyDescent="0.2">
      <c r="A2494" s="49" t="str">
        <f t="shared" si="38"/>
        <v/>
      </c>
    </row>
    <row r="2495" spans="1:1" x14ac:dyDescent="0.2">
      <c r="A2495" s="49" t="str">
        <f t="shared" si="38"/>
        <v/>
      </c>
    </row>
    <row r="2496" spans="1:1" x14ac:dyDescent="0.2">
      <c r="A2496" s="49" t="str">
        <f t="shared" si="38"/>
        <v/>
      </c>
    </row>
    <row r="2497" spans="1:1" x14ac:dyDescent="0.2">
      <c r="A2497" s="49" t="str">
        <f t="shared" si="38"/>
        <v/>
      </c>
    </row>
    <row r="2498" spans="1:1" x14ac:dyDescent="0.2">
      <c r="A2498" s="49" t="str">
        <f t="shared" si="38"/>
        <v/>
      </c>
    </row>
    <row r="2499" spans="1:1" x14ac:dyDescent="0.2">
      <c r="A2499" s="49" t="str">
        <f t="shared" si="38"/>
        <v/>
      </c>
    </row>
    <row r="2500" spans="1:1" x14ac:dyDescent="0.2">
      <c r="A2500" s="49" t="str">
        <f t="shared" ref="A2500:A2563" si="39">IF(AND(B2499&lt;&gt;"",B2500=""),$A$2&amp;"---&gt;","")</f>
        <v/>
      </c>
    </row>
    <row r="2501" spans="1:1" x14ac:dyDescent="0.2">
      <c r="A2501" s="49" t="str">
        <f t="shared" si="39"/>
        <v/>
      </c>
    </row>
    <row r="2502" spans="1:1" x14ac:dyDescent="0.2">
      <c r="A2502" s="49" t="str">
        <f t="shared" si="39"/>
        <v/>
      </c>
    </row>
    <row r="2503" spans="1:1" x14ac:dyDescent="0.2">
      <c r="A2503" s="49" t="str">
        <f t="shared" si="39"/>
        <v/>
      </c>
    </row>
    <row r="2504" spans="1:1" x14ac:dyDescent="0.2">
      <c r="A2504" s="49" t="str">
        <f t="shared" si="39"/>
        <v/>
      </c>
    </row>
    <row r="2505" spans="1:1" x14ac:dyDescent="0.2">
      <c r="A2505" s="49" t="str">
        <f t="shared" si="39"/>
        <v/>
      </c>
    </row>
    <row r="2506" spans="1:1" x14ac:dyDescent="0.2">
      <c r="A2506" s="49" t="str">
        <f t="shared" si="39"/>
        <v/>
      </c>
    </row>
    <row r="2507" spans="1:1" x14ac:dyDescent="0.2">
      <c r="A2507" s="49" t="str">
        <f t="shared" si="39"/>
        <v/>
      </c>
    </row>
    <row r="2508" spans="1:1" x14ac:dyDescent="0.2">
      <c r="A2508" s="49" t="str">
        <f t="shared" si="39"/>
        <v/>
      </c>
    </row>
    <row r="2509" spans="1:1" x14ac:dyDescent="0.2">
      <c r="A2509" s="49" t="str">
        <f t="shared" si="39"/>
        <v/>
      </c>
    </row>
    <row r="2510" spans="1:1" x14ac:dyDescent="0.2">
      <c r="A2510" s="49" t="str">
        <f t="shared" si="39"/>
        <v/>
      </c>
    </row>
    <row r="2511" spans="1:1" x14ac:dyDescent="0.2">
      <c r="A2511" s="49" t="str">
        <f t="shared" si="39"/>
        <v/>
      </c>
    </row>
    <row r="2512" spans="1:1" x14ac:dyDescent="0.2">
      <c r="A2512" s="49" t="str">
        <f t="shared" si="39"/>
        <v/>
      </c>
    </row>
    <row r="2513" spans="1:1" x14ac:dyDescent="0.2">
      <c r="A2513" s="49" t="str">
        <f t="shared" si="39"/>
        <v/>
      </c>
    </row>
    <row r="2514" spans="1:1" x14ac:dyDescent="0.2">
      <c r="A2514" s="49" t="str">
        <f t="shared" si="39"/>
        <v/>
      </c>
    </row>
    <row r="2515" spans="1:1" x14ac:dyDescent="0.2">
      <c r="A2515" s="49" t="str">
        <f t="shared" si="39"/>
        <v/>
      </c>
    </row>
    <row r="2516" spans="1:1" x14ac:dyDescent="0.2">
      <c r="A2516" s="49" t="str">
        <f t="shared" si="39"/>
        <v/>
      </c>
    </row>
    <row r="2517" spans="1:1" x14ac:dyDescent="0.2">
      <c r="A2517" s="49" t="str">
        <f t="shared" si="39"/>
        <v/>
      </c>
    </row>
    <row r="2518" spans="1:1" x14ac:dyDescent="0.2">
      <c r="A2518" s="49" t="str">
        <f t="shared" si="39"/>
        <v/>
      </c>
    </row>
    <row r="2519" spans="1:1" x14ac:dyDescent="0.2">
      <c r="A2519" s="49" t="str">
        <f t="shared" si="39"/>
        <v/>
      </c>
    </row>
    <row r="2520" spans="1:1" x14ac:dyDescent="0.2">
      <c r="A2520" s="49" t="str">
        <f t="shared" si="39"/>
        <v/>
      </c>
    </row>
    <row r="2521" spans="1:1" x14ac:dyDescent="0.2">
      <c r="A2521" s="49" t="str">
        <f t="shared" si="39"/>
        <v/>
      </c>
    </row>
    <row r="2522" spans="1:1" x14ac:dyDescent="0.2">
      <c r="A2522" s="49" t="str">
        <f t="shared" si="39"/>
        <v/>
      </c>
    </row>
    <row r="2523" spans="1:1" x14ac:dyDescent="0.2">
      <c r="A2523" s="49" t="str">
        <f t="shared" si="39"/>
        <v/>
      </c>
    </row>
    <row r="2524" spans="1:1" x14ac:dyDescent="0.2">
      <c r="A2524" s="49" t="str">
        <f t="shared" si="39"/>
        <v/>
      </c>
    </row>
    <row r="2525" spans="1:1" x14ac:dyDescent="0.2">
      <c r="A2525" s="49" t="str">
        <f t="shared" si="39"/>
        <v/>
      </c>
    </row>
    <row r="2526" spans="1:1" x14ac:dyDescent="0.2">
      <c r="A2526" s="49" t="str">
        <f t="shared" si="39"/>
        <v/>
      </c>
    </row>
    <row r="2527" spans="1:1" x14ac:dyDescent="0.2">
      <c r="A2527" s="49" t="str">
        <f t="shared" si="39"/>
        <v/>
      </c>
    </row>
    <row r="2528" spans="1:1" x14ac:dyDescent="0.2">
      <c r="A2528" s="49" t="str">
        <f t="shared" si="39"/>
        <v/>
      </c>
    </row>
    <row r="2529" spans="1:1" x14ac:dyDescent="0.2">
      <c r="A2529" s="49" t="str">
        <f t="shared" si="39"/>
        <v/>
      </c>
    </row>
    <row r="2530" spans="1:1" x14ac:dyDescent="0.2">
      <c r="A2530" s="49" t="str">
        <f t="shared" si="39"/>
        <v/>
      </c>
    </row>
    <row r="2531" spans="1:1" x14ac:dyDescent="0.2">
      <c r="A2531" s="49" t="str">
        <f t="shared" si="39"/>
        <v/>
      </c>
    </row>
    <row r="2532" spans="1:1" x14ac:dyDescent="0.2">
      <c r="A2532" s="49" t="str">
        <f t="shared" si="39"/>
        <v/>
      </c>
    </row>
    <row r="2533" spans="1:1" x14ac:dyDescent="0.2">
      <c r="A2533" s="49" t="str">
        <f t="shared" si="39"/>
        <v/>
      </c>
    </row>
    <row r="2534" spans="1:1" x14ac:dyDescent="0.2">
      <c r="A2534" s="49" t="str">
        <f t="shared" si="39"/>
        <v/>
      </c>
    </row>
    <row r="2535" spans="1:1" x14ac:dyDescent="0.2">
      <c r="A2535" s="49" t="str">
        <f t="shared" si="39"/>
        <v/>
      </c>
    </row>
    <row r="2536" spans="1:1" x14ac:dyDescent="0.2">
      <c r="A2536" s="49" t="str">
        <f t="shared" si="39"/>
        <v/>
      </c>
    </row>
    <row r="2537" spans="1:1" x14ac:dyDescent="0.2">
      <c r="A2537" s="49" t="str">
        <f t="shared" si="39"/>
        <v/>
      </c>
    </row>
    <row r="2538" spans="1:1" x14ac:dyDescent="0.2">
      <c r="A2538" s="49" t="str">
        <f t="shared" si="39"/>
        <v/>
      </c>
    </row>
    <row r="2539" spans="1:1" x14ac:dyDescent="0.2">
      <c r="A2539" s="49" t="str">
        <f t="shared" si="39"/>
        <v/>
      </c>
    </row>
    <row r="2540" spans="1:1" x14ac:dyDescent="0.2">
      <c r="A2540" s="49" t="str">
        <f t="shared" si="39"/>
        <v/>
      </c>
    </row>
    <row r="2541" spans="1:1" x14ac:dyDescent="0.2">
      <c r="A2541" s="49" t="str">
        <f t="shared" si="39"/>
        <v/>
      </c>
    </row>
    <row r="2542" spans="1:1" x14ac:dyDescent="0.2">
      <c r="A2542" s="49" t="str">
        <f t="shared" si="39"/>
        <v/>
      </c>
    </row>
    <row r="2543" spans="1:1" x14ac:dyDescent="0.2">
      <c r="A2543" s="49" t="str">
        <f t="shared" si="39"/>
        <v/>
      </c>
    </row>
    <row r="2544" spans="1:1" x14ac:dyDescent="0.2">
      <c r="A2544" s="49" t="str">
        <f t="shared" si="39"/>
        <v/>
      </c>
    </row>
    <row r="2545" spans="1:1" x14ac:dyDescent="0.2">
      <c r="A2545" s="49" t="str">
        <f t="shared" si="39"/>
        <v/>
      </c>
    </row>
    <row r="2546" spans="1:1" x14ac:dyDescent="0.2">
      <c r="A2546" s="49" t="str">
        <f t="shared" si="39"/>
        <v/>
      </c>
    </row>
    <row r="2547" spans="1:1" x14ac:dyDescent="0.2">
      <c r="A2547" s="49" t="str">
        <f t="shared" si="39"/>
        <v/>
      </c>
    </row>
    <row r="2548" spans="1:1" x14ac:dyDescent="0.2">
      <c r="A2548" s="49" t="str">
        <f t="shared" si="39"/>
        <v/>
      </c>
    </row>
    <row r="2549" spans="1:1" x14ac:dyDescent="0.2">
      <c r="A2549" s="49" t="str">
        <f t="shared" si="39"/>
        <v/>
      </c>
    </row>
    <row r="2550" spans="1:1" x14ac:dyDescent="0.2">
      <c r="A2550" s="49" t="str">
        <f t="shared" si="39"/>
        <v/>
      </c>
    </row>
    <row r="2551" spans="1:1" x14ac:dyDescent="0.2">
      <c r="A2551" s="49" t="str">
        <f t="shared" si="39"/>
        <v/>
      </c>
    </row>
    <row r="2552" spans="1:1" x14ac:dyDescent="0.2">
      <c r="A2552" s="49" t="str">
        <f t="shared" si="39"/>
        <v/>
      </c>
    </row>
    <row r="2553" spans="1:1" x14ac:dyDescent="0.2">
      <c r="A2553" s="49" t="str">
        <f t="shared" si="39"/>
        <v/>
      </c>
    </row>
    <row r="2554" spans="1:1" x14ac:dyDescent="0.2">
      <c r="A2554" s="49" t="str">
        <f t="shared" si="39"/>
        <v/>
      </c>
    </row>
    <row r="2555" spans="1:1" x14ac:dyDescent="0.2">
      <c r="A2555" s="49" t="str">
        <f t="shared" si="39"/>
        <v/>
      </c>
    </row>
    <row r="2556" spans="1:1" x14ac:dyDescent="0.2">
      <c r="A2556" s="49" t="str">
        <f t="shared" si="39"/>
        <v/>
      </c>
    </row>
    <row r="2557" spans="1:1" x14ac:dyDescent="0.2">
      <c r="A2557" s="49" t="str">
        <f t="shared" si="39"/>
        <v/>
      </c>
    </row>
    <row r="2558" spans="1:1" x14ac:dyDescent="0.2">
      <c r="A2558" s="49" t="str">
        <f t="shared" si="39"/>
        <v/>
      </c>
    </row>
    <row r="2559" spans="1:1" x14ac:dyDescent="0.2">
      <c r="A2559" s="49" t="str">
        <f t="shared" si="39"/>
        <v/>
      </c>
    </row>
    <row r="2560" spans="1:1" x14ac:dyDescent="0.2">
      <c r="A2560" s="49" t="str">
        <f t="shared" si="39"/>
        <v/>
      </c>
    </row>
    <row r="2561" spans="1:1" x14ac:dyDescent="0.2">
      <c r="A2561" s="49" t="str">
        <f t="shared" si="39"/>
        <v/>
      </c>
    </row>
    <row r="2562" spans="1:1" x14ac:dyDescent="0.2">
      <c r="A2562" s="49" t="str">
        <f t="shared" si="39"/>
        <v/>
      </c>
    </row>
    <row r="2563" spans="1:1" x14ac:dyDescent="0.2">
      <c r="A2563" s="49" t="str">
        <f t="shared" si="39"/>
        <v/>
      </c>
    </row>
    <row r="2564" spans="1:1" x14ac:dyDescent="0.2">
      <c r="A2564" s="49" t="str">
        <f t="shared" ref="A2564:A2627" si="40">IF(AND(B2563&lt;&gt;"",B2564=""),$A$2&amp;"---&gt;","")</f>
        <v/>
      </c>
    </row>
    <row r="2565" spans="1:1" x14ac:dyDescent="0.2">
      <c r="A2565" s="49" t="str">
        <f t="shared" si="40"/>
        <v/>
      </c>
    </row>
    <row r="2566" spans="1:1" x14ac:dyDescent="0.2">
      <c r="A2566" s="49" t="str">
        <f t="shared" si="40"/>
        <v/>
      </c>
    </row>
    <row r="2567" spans="1:1" x14ac:dyDescent="0.2">
      <c r="A2567" s="49" t="str">
        <f t="shared" si="40"/>
        <v/>
      </c>
    </row>
    <row r="2568" spans="1:1" x14ac:dyDescent="0.2">
      <c r="A2568" s="49" t="str">
        <f t="shared" si="40"/>
        <v/>
      </c>
    </row>
    <row r="2569" spans="1:1" x14ac:dyDescent="0.2">
      <c r="A2569" s="49" t="str">
        <f t="shared" si="40"/>
        <v/>
      </c>
    </row>
    <row r="2570" spans="1:1" x14ac:dyDescent="0.2">
      <c r="A2570" s="49" t="str">
        <f t="shared" si="40"/>
        <v/>
      </c>
    </row>
    <row r="2571" spans="1:1" x14ac:dyDescent="0.2">
      <c r="A2571" s="49" t="str">
        <f t="shared" si="40"/>
        <v/>
      </c>
    </row>
    <row r="2572" spans="1:1" x14ac:dyDescent="0.2">
      <c r="A2572" s="49" t="str">
        <f t="shared" si="40"/>
        <v/>
      </c>
    </row>
    <row r="2573" spans="1:1" x14ac:dyDescent="0.2">
      <c r="A2573" s="49" t="str">
        <f t="shared" si="40"/>
        <v/>
      </c>
    </row>
    <row r="2574" spans="1:1" x14ac:dyDescent="0.2">
      <c r="A2574" s="49" t="str">
        <f t="shared" si="40"/>
        <v/>
      </c>
    </row>
    <row r="2575" spans="1:1" x14ac:dyDescent="0.2">
      <c r="A2575" s="49" t="str">
        <f t="shared" si="40"/>
        <v/>
      </c>
    </row>
    <row r="2576" spans="1:1" x14ac:dyDescent="0.2">
      <c r="A2576" s="49" t="str">
        <f t="shared" si="40"/>
        <v/>
      </c>
    </row>
    <row r="2577" spans="1:1" x14ac:dyDescent="0.2">
      <c r="A2577" s="49" t="str">
        <f t="shared" si="40"/>
        <v/>
      </c>
    </row>
    <row r="2578" spans="1:1" x14ac:dyDescent="0.2">
      <c r="A2578" s="49" t="str">
        <f t="shared" si="40"/>
        <v/>
      </c>
    </row>
    <row r="2579" spans="1:1" x14ac:dyDescent="0.2">
      <c r="A2579" s="49" t="str">
        <f t="shared" si="40"/>
        <v/>
      </c>
    </row>
    <row r="2580" spans="1:1" x14ac:dyDescent="0.2">
      <c r="A2580" s="49" t="str">
        <f t="shared" si="40"/>
        <v/>
      </c>
    </row>
    <row r="2581" spans="1:1" x14ac:dyDescent="0.2">
      <c r="A2581" s="49" t="str">
        <f t="shared" si="40"/>
        <v/>
      </c>
    </row>
    <row r="2582" spans="1:1" x14ac:dyDescent="0.2">
      <c r="A2582" s="49" t="str">
        <f t="shared" si="40"/>
        <v/>
      </c>
    </row>
    <row r="2583" spans="1:1" x14ac:dyDescent="0.2">
      <c r="A2583" s="49" t="str">
        <f t="shared" si="40"/>
        <v/>
      </c>
    </row>
    <row r="2584" spans="1:1" x14ac:dyDescent="0.2">
      <c r="A2584" s="49" t="str">
        <f t="shared" si="40"/>
        <v/>
      </c>
    </row>
    <row r="2585" spans="1:1" x14ac:dyDescent="0.2">
      <c r="A2585" s="49" t="str">
        <f t="shared" si="40"/>
        <v/>
      </c>
    </row>
    <row r="2586" spans="1:1" x14ac:dyDescent="0.2">
      <c r="A2586" s="49" t="str">
        <f t="shared" si="40"/>
        <v/>
      </c>
    </row>
    <row r="2587" spans="1:1" x14ac:dyDescent="0.2">
      <c r="A2587" s="49" t="str">
        <f t="shared" si="40"/>
        <v/>
      </c>
    </row>
    <row r="2588" spans="1:1" x14ac:dyDescent="0.2">
      <c r="A2588" s="49" t="str">
        <f t="shared" si="40"/>
        <v/>
      </c>
    </row>
    <row r="2589" spans="1:1" x14ac:dyDescent="0.2">
      <c r="A2589" s="49" t="str">
        <f t="shared" si="40"/>
        <v/>
      </c>
    </row>
    <row r="2590" spans="1:1" x14ac:dyDescent="0.2">
      <c r="A2590" s="49" t="str">
        <f t="shared" si="40"/>
        <v/>
      </c>
    </row>
    <row r="2591" spans="1:1" x14ac:dyDescent="0.2">
      <c r="A2591" s="49" t="str">
        <f t="shared" si="40"/>
        <v/>
      </c>
    </row>
    <row r="2592" spans="1:1" x14ac:dyDescent="0.2">
      <c r="A2592" s="49" t="str">
        <f t="shared" si="40"/>
        <v/>
      </c>
    </row>
    <row r="2593" spans="1:1" x14ac:dyDescent="0.2">
      <c r="A2593" s="49" t="str">
        <f t="shared" si="40"/>
        <v/>
      </c>
    </row>
    <row r="2594" spans="1:1" x14ac:dyDescent="0.2">
      <c r="A2594" s="49" t="str">
        <f t="shared" si="40"/>
        <v/>
      </c>
    </row>
    <row r="2595" spans="1:1" x14ac:dyDescent="0.2">
      <c r="A2595" s="49" t="str">
        <f t="shared" si="40"/>
        <v/>
      </c>
    </row>
    <row r="2596" spans="1:1" x14ac:dyDescent="0.2">
      <c r="A2596" s="49" t="str">
        <f t="shared" si="40"/>
        <v/>
      </c>
    </row>
    <row r="2597" spans="1:1" x14ac:dyDescent="0.2">
      <c r="A2597" s="49" t="str">
        <f t="shared" si="40"/>
        <v/>
      </c>
    </row>
    <row r="2598" spans="1:1" x14ac:dyDescent="0.2">
      <c r="A2598" s="49" t="str">
        <f t="shared" si="40"/>
        <v/>
      </c>
    </row>
    <row r="2599" spans="1:1" x14ac:dyDescent="0.2">
      <c r="A2599" s="49" t="str">
        <f t="shared" si="40"/>
        <v/>
      </c>
    </row>
    <row r="2600" spans="1:1" x14ac:dyDescent="0.2">
      <c r="A2600" s="49" t="str">
        <f t="shared" si="40"/>
        <v/>
      </c>
    </row>
    <row r="2601" spans="1:1" x14ac:dyDescent="0.2">
      <c r="A2601" s="49" t="str">
        <f t="shared" si="40"/>
        <v/>
      </c>
    </row>
    <row r="2602" spans="1:1" x14ac:dyDescent="0.2">
      <c r="A2602" s="49" t="str">
        <f t="shared" si="40"/>
        <v/>
      </c>
    </row>
    <row r="2603" spans="1:1" x14ac:dyDescent="0.2">
      <c r="A2603" s="49" t="str">
        <f t="shared" si="40"/>
        <v/>
      </c>
    </row>
    <row r="2604" spans="1:1" x14ac:dyDescent="0.2">
      <c r="A2604" s="49" t="str">
        <f t="shared" si="40"/>
        <v/>
      </c>
    </row>
    <row r="2605" spans="1:1" x14ac:dyDescent="0.2">
      <c r="A2605" s="49" t="str">
        <f t="shared" si="40"/>
        <v/>
      </c>
    </row>
    <row r="2606" spans="1:1" x14ac:dyDescent="0.2">
      <c r="A2606" s="49" t="str">
        <f t="shared" si="40"/>
        <v/>
      </c>
    </row>
    <row r="2607" spans="1:1" x14ac:dyDescent="0.2">
      <c r="A2607" s="49" t="str">
        <f t="shared" si="40"/>
        <v/>
      </c>
    </row>
    <row r="2608" spans="1:1" x14ac:dyDescent="0.2">
      <c r="A2608" s="49" t="str">
        <f t="shared" si="40"/>
        <v/>
      </c>
    </row>
    <row r="2609" spans="1:1" x14ac:dyDescent="0.2">
      <c r="A2609" s="49" t="str">
        <f t="shared" si="40"/>
        <v/>
      </c>
    </row>
    <row r="2610" spans="1:1" x14ac:dyDescent="0.2">
      <c r="A2610" s="49" t="str">
        <f t="shared" si="40"/>
        <v/>
      </c>
    </row>
    <row r="2611" spans="1:1" x14ac:dyDescent="0.2">
      <c r="A2611" s="49" t="str">
        <f t="shared" si="40"/>
        <v/>
      </c>
    </row>
    <row r="2612" spans="1:1" x14ac:dyDescent="0.2">
      <c r="A2612" s="49" t="str">
        <f t="shared" si="40"/>
        <v/>
      </c>
    </row>
    <row r="2613" spans="1:1" x14ac:dyDescent="0.2">
      <c r="A2613" s="49" t="str">
        <f t="shared" si="40"/>
        <v/>
      </c>
    </row>
    <row r="2614" spans="1:1" x14ac:dyDescent="0.2">
      <c r="A2614" s="49" t="str">
        <f t="shared" si="40"/>
        <v/>
      </c>
    </row>
    <row r="2615" spans="1:1" x14ac:dyDescent="0.2">
      <c r="A2615" s="49" t="str">
        <f t="shared" si="40"/>
        <v/>
      </c>
    </row>
    <row r="2616" spans="1:1" x14ac:dyDescent="0.2">
      <c r="A2616" s="49" t="str">
        <f t="shared" si="40"/>
        <v/>
      </c>
    </row>
    <row r="2617" spans="1:1" x14ac:dyDescent="0.2">
      <c r="A2617" s="49" t="str">
        <f t="shared" si="40"/>
        <v/>
      </c>
    </row>
    <row r="2618" spans="1:1" x14ac:dyDescent="0.2">
      <c r="A2618" s="49" t="str">
        <f t="shared" si="40"/>
        <v/>
      </c>
    </row>
    <row r="2619" spans="1:1" x14ac:dyDescent="0.2">
      <c r="A2619" s="49" t="str">
        <f t="shared" si="40"/>
        <v/>
      </c>
    </row>
    <row r="2620" spans="1:1" x14ac:dyDescent="0.2">
      <c r="A2620" s="49" t="str">
        <f t="shared" si="40"/>
        <v/>
      </c>
    </row>
    <row r="2621" spans="1:1" x14ac:dyDescent="0.2">
      <c r="A2621" s="49" t="str">
        <f t="shared" si="40"/>
        <v/>
      </c>
    </row>
    <row r="2622" spans="1:1" x14ac:dyDescent="0.2">
      <c r="A2622" s="49" t="str">
        <f t="shared" si="40"/>
        <v/>
      </c>
    </row>
    <row r="2623" spans="1:1" x14ac:dyDescent="0.2">
      <c r="A2623" s="49" t="str">
        <f t="shared" si="40"/>
        <v/>
      </c>
    </row>
    <row r="2624" spans="1:1" x14ac:dyDescent="0.2">
      <c r="A2624" s="49" t="str">
        <f t="shared" si="40"/>
        <v/>
      </c>
    </row>
    <row r="2625" spans="1:1" x14ac:dyDescent="0.2">
      <c r="A2625" s="49" t="str">
        <f t="shared" si="40"/>
        <v/>
      </c>
    </row>
    <row r="2626" spans="1:1" x14ac:dyDescent="0.2">
      <c r="A2626" s="49" t="str">
        <f t="shared" si="40"/>
        <v/>
      </c>
    </row>
    <row r="2627" spans="1:1" x14ac:dyDescent="0.2">
      <c r="A2627" s="49" t="str">
        <f t="shared" si="40"/>
        <v/>
      </c>
    </row>
    <row r="2628" spans="1:1" x14ac:dyDescent="0.2">
      <c r="A2628" s="49" t="str">
        <f t="shared" ref="A2628:A2691" si="41">IF(AND(B2627&lt;&gt;"",B2628=""),$A$2&amp;"---&gt;","")</f>
        <v/>
      </c>
    </row>
    <row r="2629" spans="1:1" x14ac:dyDescent="0.2">
      <c r="A2629" s="49" t="str">
        <f t="shared" si="41"/>
        <v/>
      </c>
    </row>
    <row r="2630" spans="1:1" x14ac:dyDescent="0.2">
      <c r="A2630" s="49" t="str">
        <f t="shared" si="41"/>
        <v/>
      </c>
    </row>
    <row r="2631" spans="1:1" x14ac:dyDescent="0.2">
      <c r="A2631" s="49" t="str">
        <f t="shared" si="41"/>
        <v/>
      </c>
    </row>
    <row r="2632" spans="1:1" x14ac:dyDescent="0.2">
      <c r="A2632" s="49" t="str">
        <f t="shared" si="41"/>
        <v/>
      </c>
    </row>
    <row r="2633" spans="1:1" x14ac:dyDescent="0.2">
      <c r="A2633" s="49" t="str">
        <f t="shared" si="41"/>
        <v/>
      </c>
    </row>
    <row r="2634" spans="1:1" x14ac:dyDescent="0.2">
      <c r="A2634" s="49" t="str">
        <f t="shared" si="41"/>
        <v/>
      </c>
    </row>
    <row r="2635" spans="1:1" x14ac:dyDescent="0.2">
      <c r="A2635" s="49" t="str">
        <f t="shared" si="41"/>
        <v/>
      </c>
    </row>
    <row r="2636" spans="1:1" x14ac:dyDescent="0.2">
      <c r="A2636" s="49" t="str">
        <f t="shared" si="41"/>
        <v/>
      </c>
    </row>
    <row r="2637" spans="1:1" x14ac:dyDescent="0.2">
      <c r="A2637" s="49" t="str">
        <f t="shared" si="41"/>
        <v/>
      </c>
    </row>
    <row r="2638" spans="1:1" x14ac:dyDescent="0.2">
      <c r="A2638" s="49" t="str">
        <f t="shared" si="41"/>
        <v/>
      </c>
    </row>
    <row r="2639" spans="1:1" x14ac:dyDescent="0.2">
      <c r="A2639" s="49" t="str">
        <f t="shared" si="41"/>
        <v/>
      </c>
    </row>
    <row r="2640" spans="1:1" x14ac:dyDescent="0.2">
      <c r="A2640" s="49" t="str">
        <f t="shared" si="41"/>
        <v/>
      </c>
    </row>
    <row r="2641" spans="1:1" x14ac:dyDescent="0.2">
      <c r="A2641" s="49" t="str">
        <f t="shared" si="41"/>
        <v/>
      </c>
    </row>
    <row r="2642" spans="1:1" x14ac:dyDescent="0.2">
      <c r="A2642" s="49" t="str">
        <f t="shared" si="41"/>
        <v/>
      </c>
    </row>
    <row r="2643" spans="1:1" x14ac:dyDescent="0.2">
      <c r="A2643" s="49" t="str">
        <f t="shared" si="41"/>
        <v/>
      </c>
    </row>
    <row r="2644" spans="1:1" x14ac:dyDescent="0.2">
      <c r="A2644" s="49" t="str">
        <f t="shared" si="41"/>
        <v/>
      </c>
    </row>
    <row r="2645" spans="1:1" x14ac:dyDescent="0.2">
      <c r="A2645" s="49" t="str">
        <f t="shared" si="41"/>
        <v/>
      </c>
    </row>
    <row r="2646" spans="1:1" x14ac:dyDescent="0.2">
      <c r="A2646" s="49" t="str">
        <f t="shared" si="41"/>
        <v/>
      </c>
    </row>
    <row r="2647" spans="1:1" x14ac:dyDescent="0.2">
      <c r="A2647" s="49" t="str">
        <f t="shared" si="41"/>
        <v/>
      </c>
    </row>
    <row r="2648" spans="1:1" x14ac:dyDescent="0.2">
      <c r="A2648" s="49" t="str">
        <f t="shared" si="41"/>
        <v/>
      </c>
    </row>
    <row r="2649" spans="1:1" x14ac:dyDescent="0.2">
      <c r="A2649" s="49" t="str">
        <f t="shared" si="41"/>
        <v/>
      </c>
    </row>
    <row r="2650" spans="1:1" x14ac:dyDescent="0.2">
      <c r="A2650" s="49" t="str">
        <f t="shared" si="41"/>
        <v/>
      </c>
    </row>
    <row r="2651" spans="1:1" x14ac:dyDescent="0.2">
      <c r="A2651" s="49" t="str">
        <f t="shared" si="41"/>
        <v/>
      </c>
    </row>
    <row r="2652" spans="1:1" x14ac:dyDescent="0.2">
      <c r="A2652" s="49" t="str">
        <f t="shared" si="41"/>
        <v/>
      </c>
    </row>
    <row r="2653" spans="1:1" x14ac:dyDescent="0.2">
      <c r="A2653" s="49" t="str">
        <f t="shared" si="41"/>
        <v/>
      </c>
    </row>
    <row r="2654" spans="1:1" x14ac:dyDescent="0.2">
      <c r="A2654" s="49" t="str">
        <f t="shared" si="41"/>
        <v/>
      </c>
    </row>
    <row r="2655" spans="1:1" x14ac:dyDescent="0.2">
      <c r="A2655" s="49" t="str">
        <f t="shared" si="41"/>
        <v/>
      </c>
    </row>
    <row r="2656" spans="1:1" x14ac:dyDescent="0.2">
      <c r="A2656" s="49" t="str">
        <f t="shared" si="41"/>
        <v/>
      </c>
    </row>
    <row r="2657" spans="1:1" x14ac:dyDescent="0.2">
      <c r="A2657" s="49" t="str">
        <f t="shared" si="41"/>
        <v/>
      </c>
    </row>
    <row r="2658" spans="1:1" x14ac:dyDescent="0.2">
      <c r="A2658" s="49" t="str">
        <f t="shared" si="41"/>
        <v/>
      </c>
    </row>
    <row r="2659" spans="1:1" x14ac:dyDescent="0.2">
      <c r="A2659" s="49" t="str">
        <f t="shared" si="41"/>
        <v/>
      </c>
    </row>
    <row r="2660" spans="1:1" x14ac:dyDescent="0.2">
      <c r="A2660" s="49" t="str">
        <f t="shared" si="41"/>
        <v/>
      </c>
    </row>
    <row r="2661" spans="1:1" x14ac:dyDescent="0.2">
      <c r="A2661" s="49" t="str">
        <f t="shared" si="41"/>
        <v/>
      </c>
    </row>
    <row r="2662" spans="1:1" x14ac:dyDescent="0.2">
      <c r="A2662" s="49" t="str">
        <f t="shared" si="41"/>
        <v/>
      </c>
    </row>
    <row r="2663" spans="1:1" x14ac:dyDescent="0.2">
      <c r="A2663" s="49" t="str">
        <f t="shared" si="41"/>
        <v/>
      </c>
    </row>
    <row r="2664" spans="1:1" x14ac:dyDescent="0.2">
      <c r="A2664" s="49" t="str">
        <f t="shared" si="41"/>
        <v/>
      </c>
    </row>
    <row r="2665" spans="1:1" x14ac:dyDescent="0.2">
      <c r="A2665" s="49" t="str">
        <f t="shared" si="41"/>
        <v/>
      </c>
    </row>
    <row r="2666" spans="1:1" x14ac:dyDescent="0.2">
      <c r="A2666" s="49" t="str">
        <f t="shared" si="41"/>
        <v/>
      </c>
    </row>
    <row r="2667" spans="1:1" x14ac:dyDescent="0.2">
      <c r="A2667" s="49" t="str">
        <f t="shared" si="41"/>
        <v/>
      </c>
    </row>
    <row r="2668" spans="1:1" x14ac:dyDescent="0.2">
      <c r="A2668" s="49" t="str">
        <f t="shared" si="41"/>
        <v/>
      </c>
    </row>
    <row r="2669" spans="1:1" x14ac:dyDescent="0.2">
      <c r="A2669" s="49" t="str">
        <f t="shared" si="41"/>
        <v/>
      </c>
    </row>
    <row r="2670" spans="1:1" x14ac:dyDescent="0.2">
      <c r="A2670" s="49" t="str">
        <f t="shared" si="41"/>
        <v/>
      </c>
    </row>
    <row r="2671" spans="1:1" x14ac:dyDescent="0.2">
      <c r="A2671" s="49" t="str">
        <f t="shared" si="41"/>
        <v/>
      </c>
    </row>
    <row r="2672" spans="1:1" x14ac:dyDescent="0.2">
      <c r="A2672" s="49" t="str">
        <f t="shared" si="41"/>
        <v/>
      </c>
    </row>
    <row r="2673" spans="1:1" x14ac:dyDescent="0.2">
      <c r="A2673" s="49" t="str">
        <f t="shared" si="41"/>
        <v/>
      </c>
    </row>
    <row r="2674" spans="1:1" x14ac:dyDescent="0.2">
      <c r="A2674" s="49" t="str">
        <f t="shared" si="41"/>
        <v/>
      </c>
    </row>
    <row r="2675" spans="1:1" x14ac:dyDescent="0.2">
      <c r="A2675" s="49" t="str">
        <f t="shared" si="41"/>
        <v/>
      </c>
    </row>
    <row r="2676" spans="1:1" x14ac:dyDescent="0.2">
      <c r="A2676" s="49" t="str">
        <f t="shared" si="41"/>
        <v/>
      </c>
    </row>
    <row r="2677" spans="1:1" x14ac:dyDescent="0.2">
      <c r="A2677" s="49" t="str">
        <f t="shared" si="41"/>
        <v/>
      </c>
    </row>
    <row r="2678" spans="1:1" x14ac:dyDescent="0.2">
      <c r="A2678" s="49" t="str">
        <f t="shared" si="41"/>
        <v/>
      </c>
    </row>
    <row r="2679" spans="1:1" x14ac:dyDescent="0.2">
      <c r="A2679" s="49" t="str">
        <f t="shared" si="41"/>
        <v/>
      </c>
    </row>
    <row r="2680" spans="1:1" x14ac:dyDescent="0.2">
      <c r="A2680" s="49" t="str">
        <f t="shared" si="41"/>
        <v/>
      </c>
    </row>
    <row r="2681" spans="1:1" x14ac:dyDescent="0.2">
      <c r="A2681" s="49" t="str">
        <f t="shared" si="41"/>
        <v/>
      </c>
    </row>
    <row r="2682" spans="1:1" x14ac:dyDescent="0.2">
      <c r="A2682" s="49" t="str">
        <f t="shared" si="41"/>
        <v/>
      </c>
    </row>
    <row r="2683" spans="1:1" x14ac:dyDescent="0.2">
      <c r="A2683" s="49" t="str">
        <f t="shared" si="41"/>
        <v/>
      </c>
    </row>
    <row r="2684" spans="1:1" x14ac:dyDescent="0.2">
      <c r="A2684" s="49" t="str">
        <f t="shared" si="41"/>
        <v/>
      </c>
    </row>
    <row r="2685" spans="1:1" x14ac:dyDescent="0.2">
      <c r="A2685" s="49" t="str">
        <f t="shared" si="41"/>
        <v/>
      </c>
    </row>
    <row r="2686" spans="1:1" x14ac:dyDescent="0.2">
      <c r="A2686" s="49" t="str">
        <f t="shared" si="41"/>
        <v/>
      </c>
    </row>
    <row r="2687" spans="1:1" x14ac:dyDescent="0.2">
      <c r="A2687" s="49" t="str">
        <f t="shared" si="41"/>
        <v/>
      </c>
    </row>
    <row r="2688" spans="1:1" x14ac:dyDescent="0.2">
      <c r="A2688" s="49" t="str">
        <f t="shared" si="41"/>
        <v/>
      </c>
    </row>
    <row r="2689" spans="1:1" x14ac:dyDescent="0.2">
      <c r="A2689" s="49" t="str">
        <f t="shared" si="41"/>
        <v/>
      </c>
    </row>
    <row r="2690" spans="1:1" x14ac:dyDescent="0.2">
      <c r="A2690" s="49" t="str">
        <f t="shared" si="41"/>
        <v/>
      </c>
    </row>
    <row r="2691" spans="1:1" x14ac:dyDescent="0.2">
      <c r="A2691" s="49" t="str">
        <f t="shared" si="41"/>
        <v/>
      </c>
    </row>
    <row r="2692" spans="1:1" x14ac:dyDescent="0.2">
      <c r="A2692" s="49" t="str">
        <f t="shared" ref="A2692:A2755" si="42">IF(AND(B2691&lt;&gt;"",B2692=""),$A$2&amp;"---&gt;","")</f>
        <v/>
      </c>
    </row>
    <row r="2693" spans="1:1" x14ac:dyDescent="0.2">
      <c r="A2693" s="49" t="str">
        <f t="shared" si="42"/>
        <v/>
      </c>
    </row>
    <row r="2694" spans="1:1" x14ac:dyDescent="0.2">
      <c r="A2694" s="49" t="str">
        <f t="shared" si="42"/>
        <v/>
      </c>
    </row>
    <row r="2695" spans="1:1" x14ac:dyDescent="0.2">
      <c r="A2695" s="49" t="str">
        <f t="shared" si="42"/>
        <v/>
      </c>
    </row>
    <row r="2696" spans="1:1" x14ac:dyDescent="0.2">
      <c r="A2696" s="49" t="str">
        <f t="shared" si="42"/>
        <v/>
      </c>
    </row>
    <row r="2697" spans="1:1" x14ac:dyDescent="0.2">
      <c r="A2697" s="49" t="str">
        <f t="shared" si="42"/>
        <v/>
      </c>
    </row>
    <row r="2698" spans="1:1" x14ac:dyDescent="0.2">
      <c r="A2698" s="49" t="str">
        <f t="shared" si="42"/>
        <v/>
      </c>
    </row>
    <row r="2699" spans="1:1" x14ac:dyDescent="0.2">
      <c r="A2699" s="49" t="str">
        <f t="shared" si="42"/>
        <v/>
      </c>
    </row>
    <row r="2700" spans="1:1" x14ac:dyDescent="0.2">
      <c r="A2700" s="49" t="str">
        <f t="shared" si="42"/>
        <v/>
      </c>
    </row>
    <row r="2701" spans="1:1" x14ac:dyDescent="0.2">
      <c r="A2701" s="49" t="str">
        <f t="shared" si="42"/>
        <v/>
      </c>
    </row>
    <row r="2702" spans="1:1" x14ac:dyDescent="0.2">
      <c r="A2702" s="49" t="str">
        <f t="shared" si="42"/>
        <v/>
      </c>
    </row>
    <row r="2703" spans="1:1" x14ac:dyDescent="0.2">
      <c r="A2703" s="49" t="str">
        <f t="shared" si="42"/>
        <v/>
      </c>
    </row>
    <row r="2704" spans="1:1" x14ac:dyDescent="0.2">
      <c r="A2704" s="49" t="str">
        <f t="shared" si="42"/>
        <v/>
      </c>
    </row>
    <row r="2705" spans="1:1" x14ac:dyDescent="0.2">
      <c r="A2705" s="49" t="str">
        <f t="shared" si="42"/>
        <v/>
      </c>
    </row>
    <row r="2706" spans="1:1" x14ac:dyDescent="0.2">
      <c r="A2706" s="49" t="str">
        <f t="shared" si="42"/>
        <v/>
      </c>
    </row>
    <row r="2707" spans="1:1" x14ac:dyDescent="0.2">
      <c r="A2707" s="49" t="str">
        <f t="shared" si="42"/>
        <v/>
      </c>
    </row>
    <row r="2708" spans="1:1" x14ac:dyDescent="0.2">
      <c r="A2708" s="49" t="str">
        <f t="shared" si="42"/>
        <v/>
      </c>
    </row>
    <row r="2709" spans="1:1" x14ac:dyDescent="0.2">
      <c r="A2709" s="49" t="str">
        <f t="shared" si="42"/>
        <v/>
      </c>
    </row>
    <row r="2710" spans="1:1" x14ac:dyDescent="0.2">
      <c r="A2710" s="49" t="str">
        <f t="shared" si="42"/>
        <v/>
      </c>
    </row>
    <row r="2711" spans="1:1" x14ac:dyDescent="0.2">
      <c r="A2711" s="49" t="str">
        <f t="shared" si="42"/>
        <v/>
      </c>
    </row>
    <row r="2712" spans="1:1" x14ac:dyDescent="0.2">
      <c r="A2712" s="49" t="str">
        <f t="shared" si="42"/>
        <v/>
      </c>
    </row>
    <row r="2713" spans="1:1" x14ac:dyDescent="0.2">
      <c r="A2713" s="49" t="str">
        <f t="shared" si="42"/>
        <v/>
      </c>
    </row>
    <row r="2714" spans="1:1" x14ac:dyDescent="0.2">
      <c r="A2714" s="49" t="str">
        <f t="shared" si="42"/>
        <v/>
      </c>
    </row>
    <row r="2715" spans="1:1" x14ac:dyDescent="0.2">
      <c r="A2715" s="49" t="str">
        <f t="shared" si="42"/>
        <v/>
      </c>
    </row>
    <row r="2716" spans="1:1" x14ac:dyDescent="0.2">
      <c r="A2716" s="49" t="str">
        <f t="shared" si="42"/>
        <v/>
      </c>
    </row>
    <row r="2717" spans="1:1" x14ac:dyDescent="0.2">
      <c r="A2717" s="49" t="str">
        <f t="shared" si="42"/>
        <v/>
      </c>
    </row>
    <row r="2718" spans="1:1" x14ac:dyDescent="0.2">
      <c r="A2718" s="49" t="str">
        <f t="shared" si="42"/>
        <v/>
      </c>
    </row>
    <row r="2719" spans="1:1" x14ac:dyDescent="0.2">
      <c r="A2719" s="49" t="str">
        <f t="shared" si="42"/>
        <v/>
      </c>
    </row>
    <row r="2720" spans="1:1" x14ac:dyDescent="0.2">
      <c r="A2720" s="49" t="str">
        <f t="shared" si="42"/>
        <v/>
      </c>
    </row>
    <row r="2721" spans="1:1" x14ac:dyDescent="0.2">
      <c r="A2721" s="49" t="str">
        <f t="shared" si="42"/>
        <v/>
      </c>
    </row>
    <row r="2722" spans="1:1" x14ac:dyDescent="0.2">
      <c r="A2722" s="49" t="str">
        <f t="shared" si="42"/>
        <v/>
      </c>
    </row>
    <row r="2723" spans="1:1" x14ac:dyDescent="0.2">
      <c r="A2723" s="49" t="str">
        <f t="shared" si="42"/>
        <v/>
      </c>
    </row>
    <row r="2724" spans="1:1" x14ac:dyDescent="0.2">
      <c r="A2724" s="49" t="str">
        <f t="shared" si="42"/>
        <v/>
      </c>
    </row>
    <row r="2725" spans="1:1" x14ac:dyDescent="0.2">
      <c r="A2725" s="49" t="str">
        <f t="shared" si="42"/>
        <v/>
      </c>
    </row>
    <row r="2726" spans="1:1" x14ac:dyDescent="0.2">
      <c r="A2726" s="49" t="str">
        <f t="shared" si="42"/>
        <v/>
      </c>
    </row>
    <row r="2727" spans="1:1" x14ac:dyDescent="0.2">
      <c r="A2727" s="49" t="str">
        <f t="shared" si="42"/>
        <v/>
      </c>
    </row>
    <row r="2728" spans="1:1" x14ac:dyDescent="0.2">
      <c r="A2728" s="49" t="str">
        <f t="shared" si="42"/>
        <v/>
      </c>
    </row>
    <row r="2729" spans="1:1" x14ac:dyDescent="0.2">
      <c r="A2729" s="49" t="str">
        <f t="shared" si="42"/>
        <v/>
      </c>
    </row>
    <row r="2730" spans="1:1" x14ac:dyDescent="0.2">
      <c r="A2730" s="49" t="str">
        <f t="shared" si="42"/>
        <v/>
      </c>
    </row>
    <row r="2731" spans="1:1" x14ac:dyDescent="0.2">
      <c r="A2731" s="49" t="str">
        <f t="shared" si="42"/>
        <v/>
      </c>
    </row>
    <row r="2732" spans="1:1" x14ac:dyDescent="0.2">
      <c r="A2732" s="49" t="str">
        <f t="shared" si="42"/>
        <v/>
      </c>
    </row>
    <row r="2733" spans="1:1" x14ac:dyDescent="0.2">
      <c r="A2733" s="49" t="str">
        <f t="shared" si="42"/>
        <v/>
      </c>
    </row>
    <row r="2734" spans="1:1" x14ac:dyDescent="0.2">
      <c r="A2734" s="49" t="str">
        <f t="shared" si="42"/>
        <v/>
      </c>
    </row>
    <row r="2735" spans="1:1" x14ac:dyDescent="0.2">
      <c r="A2735" s="49" t="str">
        <f t="shared" si="42"/>
        <v/>
      </c>
    </row>
    <row r="2736" spans="1:1" x14ac:dyDescent="0.2">
      <c r="A2736" s="49" t="str">
        <f t="shared" si="42"/>
        <v/>
      </c>
    </row>
    <row r="2737" spans="1:1" x14ac:dyDescent="0.2">
      <c r="A2737" s="49" t="str">
        <f t="shared" si="42"/>
        <v/>
      </c>
    </row>
    <row r="2738" spans="1:1" x14ac:dyDescent="0.2">
      <c r="A2738" s="49" t="str">
        <f t="shared" si="42"/>
        <v/>
      </c>
    </row>
    <row r="2739" spans="1:1" x14ac:dyDescent="0.2">
      <c r="A2739" s="49" t="str">
        <f t="shared" si="42"/>
        <v/>
      </c>
    </row>
    <row r="2740" spans="1:1" x14ac:dyDescent="0.2">
      <c r="A2740" s="49" t="str">
        <f t="shared" si="42"/>
        <v/>
      </c>
    </row>
    <row r="2741" spans="1:1" x14ac:dyDescent="0.2">
      <c r="A2741" s="49" t="str">
        <f t="shared" si="42"/>
        <v/>
      </c>
    </row>
    <row r="2742" spans="1:1" x14ac:dyDescent="0.2">
      <c r="A2742" s="49" t="str">
        <f t="shared" si="42"/>
        <v/>
      </c>
    </row>
    <row r="2743" spans="1:1" x14ac:dyDescent="0.2">
      <c r="A2743" s="49" t="str">
        <f t="shared" si="42"/>
        <v/>
      </c>
    </row>
    <row r="2744" spans="1:1" x14ac:dyDescent="0.2">
      <c r="A2744" s="49" t="str">
        <f t="shared" si="42"/>
        <v/>
      </c>
    </row>
    <row r="2745" spans="1:1" x14ac:dyDescent="0.2">
      <c r="A2745" s="49" t="str">
        <f t="shared" si="42"/>
        <v/>
      </c>
    </row>
    <row r="2746" spans="1:1" x14ac:dyDescent="0.2">
      <c r="A2746" s="49" t="str">
        <f t="shared" si="42"/>
        <v/>
      </c>
    </row>
    <row r="2747" spans="1:1" x14ac:dyDescent="0.2">
      <c r="A2747" s="49" t="str">
        <f t="shared" si="42"/>
        <v/>
      </c>
    </row>
    <row r="2748" spans="1:1" x14ac:dyDescent="0.2">
      <c r="A2748" s="49" t="str">
        <f t="shared" si="42"/>
        <v/>
      </c>
    </row>
    <row r="2749" spans="1:1" x14ac:dyDescent="0.2">
      <c r="A2749" s="49" t="str">
        <f t="shared" si="42"/>
        <v/>
      </c>
    </row>
    <row r="2750" spans="1:1" x14ac:dyDescent="0.2">
      <c r="A2750" s="49" t="str">
        <f t="shared" si="42"/>
        <v/>
      </c>
    </row>
    <row r="2751" spans="1:1" x14ac:dyDescent="0.2">
      <c r="A2751" s="49" t="str">
        <f t="shared" si="42"/>
        <v/>
      </c>
    </row>
    <row r="2752" spans="1:1" x14ac:dyDescent="0.2">
      <c r="A2752" s="49" t="str">
        <f t="shared" si="42"/>
        <v/>
      </c>
    </row>
    <row r="2753" spans="1:1" x14ac:dyDescent="0.2">
      <c r="A2753" s="49" t="str">
        <f t="shared" si="42"/>
        <v/>
      </c>
    </row>
    <row r="2754" spans="1:1" x14ac:dyDescent="0.2">
      <c r="A2754" s="49" t="str">
        <f t="shared" si="42"/>
        <v/>
      </c>
    </row>
    <row r="2755" spans="1:1" x14ac:dyDescent="0.2">
      <c r="A2755" s="49" t="str">
        <f t="shared" si="42"/>
        <v/>
      </c>
    </row>
    <row r="2756" spans="1:1" x14ac:dyDescent="0.2">
      <c r="A2756" s="49" t="str">
        <f t="shared" ref="A2756:A2819" si="43">IF(AND(B2755&lt;&gt;"",B2756=""),$A$2&amp;"---&gt;","")</f>
        <v/>
      </c>
    </row>
    <row r="2757" spans="1:1" x14ac:dyDescent="0.2">
      <c r="A2757" s="49" t="str">
        <f t="shared" si="43"/>
        <v/>
      </c>
    </row>
    <row r="2758" spans="1:1" x14ac:dyDescent="0.2">
      <c r="A2758" s="49" t="str">
        <f t="shared" si="43"/>
        <v/>
      </c>
    </row>
    <row r="2759" spans="1:1" x14ac:dyDescent="0.2">
      <c r="A2759" s="49" t="str">
        <f t="shared" si="43"/>
        <v/>
      </c>
    </row>
    <row r="2760" spans="1:1" x14ac:dyDescent="0.2">
      <c r="A2760" s="49" t="str">
        <f t="shared" si="43"/>
        <v/>
      </c>
    </row>
    <row r="2761" spans="1:1" x14ac:dyDescent="0.2">
      <c r="A2761" s="49" t="str">
        <f t="shared" si="43"/>
        <v/>
      </c>
    </row>
    <row r="2762" spans="1:1" x14ac:dyDescent="0.2">
      <c r="A2762" s="49" t="str">
        <f t="shared" si="43"/>
        <v/>
      </c>
    </row>
    <row r="2763" spans="1:1" x14ac:dyDescent="0.2">
      <c r="A2763" s="49" t="str">
        <f t="shared" si="43"/>
        <v/>
      </c>
    </row>
    <row r="2764" spans="1:1" x14ac:dyDescent="0.2">
      <c r="A2764" s="49" t="str">
        <f t="shared" si="43"/>
        <v/>
      </c>
    </row>
    <row r="2765" spans="1:1" x14ac:dyDescent="0.2">
      <c r="A2765" s="49" t="str">
        <f t="shared" si="43"/>
        <v/>
      </c>
    </row>
    <row r="2766" spans="1:1" x14ac:dyDescent="0.2">
      <c r="A2766" s="49" t="str">
        <f t="shared" si="43"/>
        <v/>
      </c>
    </row>
    <row r="2767" spans="1:1" x14ac:dyDescent="0.2">
      <c r="A2767" s="49" t="str">
        <f t="shared" si="43"/>
        <v/>
      </c>
    </row>
    <row r="2768" spans="1:1" x14ac:dyDescent="0.2">
      <c r="A2768" s="49" t="str">
        <f t="shared" si="43"/>
        <v/>
      </c>
    </row>
    <row r="2769" spans="1:1" x14ac:dyDescent="0.2">
      <c r="A2769" s="49" t="str">
        <f t="shared" si="43"/>
        <v/>
      </c>
    </row>
    <row r="2770" spans="1:1" x14ac:dyDescent="0.2">
      <c r="A2770" s="49" t="str">
        <f t="shared" si="43"/>
        <v/>
      </c>
    </row>
    <row r="2771" spans="1:1" x14ac:dyDescent="0.2">
      <c r="A2771" s="49" t="str">
        <f t="shared" si="43"/>
        <v/>
      </c>
    </row>
    <row r="2772" spans="1:1" x14ac:dyDescent="0.2">
      <c r="A2772" s="49" t="str">
        <f t="shared" si="43"/>
        <v/>
      </c>
    </row>
    <row r="2773" spans="1:1" x14ac:dyDescent="0.2">
      <c r="A2773" s="49" t="str">
        <f t="shared" si="43"/>
        <v/>
      </c>
    </row>
    <row r="2774" spans="1:1" x14ac:dyDescent="0.2">
      <c r="A2774" s="49" t="str">
        <f t="shared" si="43"/>
        <v/>
      </c>
    </row>
    <row r="2775" spans="1:1" x14ac:dyDescent="0.2">
      <c r="A2775" s="49" t="str">
        <f t="shared" si="43"/>
        <v/>
      </c>
    </row>
    <row r="2776" spans="1:1" x14ac:dyDescent="0.2">
      <c r="A2776" s="49" t="str">
        <f t="shared" si="43"/>
        <v/>
      </c>
    </row>
    <row r="2777" spans="1:1" x14ac:dyDescent="0.2">
      <c r="A2777" s="49" t="str">
        <f t="shared" si="43"/>
        <v/>
      </c>
    </row>
    <row r="2778" spans="1:1" x14ac:dyDescent="0.2">
      <c r="A2778" s="49" t="str">
        <f t="shared" si="43"/>
        <v/>
      </c>
    </row>
    <row r="2779" spans="1:1" x14ac:dyDescent="0.2">
      <c r="A2779" s="49" t="str">
        <f t="shared" si="43"/>
        <v/>
      </c>
    </row>
    <row r="2780" spans="1:1" x14ac:dyDescent="0.2">
      <c r="A2780" s="49" t="str">
        <f t="shared" si="43"/>
        <v/>
      </c>
    </row>
    <row r="2781" spans="1:1" x14ac:dyDescent="0.2">
      <c r="A2781" s="49" t="str">
        <f t="shared" si="43"/>
        <v/>
      </c>
    </row>
    <row r="2782" spans="1:1" x14ac:dyDescent="0.2">
      <c r="A2782" s="49" t="str">
        <f t="shared" si="43"/>
        <v/>
      </c>
    </row>
    <row r="2783" spans="1:1" x14ac:dyDescent="0.2">
      <c r="A2783" s="49" t="str">
        <f t="shared" si="43"/>
        <v/>
      </c>
    </row>
    <row r="2784" spans="1:1" x14ac:dyDescent="0.2">
      <c r="A2784" s="49" t="str">
        <f t="shared" si="43"/>
        <v/>
      </c>
    </row>
    <row r="2785" spans="1:1" x14ac:dyDescent="0.2">
      <c r="A2785" s="49" t="str">
        <f t="shared" si="43"/>
        <v/>
      </c>
    </row>
    <row r="2786" spans="1:1" x14ac:dyDescent="0.2">
      <c r="A2786" s="49" t="str">
        <f t="shared" si="43"/>
        <v/>
      </c>
    </row>
    <row r="2787" spans="1:1" x14ac:dyDescent="0.2">
      <c r="A2787" s="49" t="str">
        <f t="shared" si="43"/>
        <v/>
      </c>
    </row>
    <row r="2788" spans="1:1" x14ac:dyDescent="0.2">
      <c r="A2788" s="49" t="str">
        <f t="shared" si="43"/>
        <v/>
      </c>
    </row>
    <row r="2789" spans="1:1" x14ac:dyDescent="0.2">
      <c r="A2789" s="49" t="str">
        <f t="shared" si="43"/>
        <v/>
      </c>
    </row>
    <row r="2790" spans="1:1" x14ac:dyDescent="0.2">
      <c r="A2790" s="49" t="str">
        <f t="shared" si="43"/>
        <v/>
      </c>
    </row>
    <row r="2791" spans="1:1" x14ac:dyDescent="0.2">
      <c r="A2791" s="49" t="str">
        <f t="shared" si="43"/>
        <v/>
      </c>
    </row>
    <row r="2792" spans="1:1" x14ac:dyDescent="0.2">
      <c r="A2792" s="49" t="str">
        <f t="shared" si="43"/>
        <v/>
      </c>
    </row>
    <row r="2793" spans="1:1" x14ac:dyDescent="0.2">
      <c r="A2793" s="49" t="str">
        <f t="shared" si="43"/>
        <v/>
      </c>
    </row>
    <row r="2794" spans="1:1" x14ac:dyDescent="0.2">
      <c r="A2794" s="49" t="str">
        <f t="shared" si="43"/>
        <v/>
      </c>
    </row>
    <row r="2795" spans="1:1" x14ac:dyDescent="0.2">
      <c r="A2795" s="49" t="str">
        <f t="shared" si="43"/>
        <v/>
      </c>
    </row>
    <row r="2796" spans="1:1" x14ac:dyDescent="0.2">
      <c r="A2796" s="49" t="str">
        <f t="shared" si="43"/>
        <v/>
      </c>
    </row>
    <row r="2797" spans="1:1" x14ac:dyDescent="0.2">
      <c r="A2797" s="49" t="str">
        <f t="shared" si="43"/>
        <v/>
      </c>
    </row>
    <row r="2798" spans="1:1" x14ac:dyDescent="0.2">
      <c r="A2798" s="49" t="str">
        <f t="shared" si="43"/>
        <v/>
      </c>
    </row>
    <row r="2799" spans="1:1" x14ac:dyDescent="0.2">
      <c r="A2799" s="49" t="str">
        <f t="shared" si="43"/>
        <v/>
      </c>
    </row>
    <row r="2800" spans="1:1" x14ac:dyDescent="0.2">
      <c r="A2800" s="49" t="str">
        <f t="shared" si="43"/>
        <v/>
      </c>
    </row>
    <row r="2801" spans="1:1" x14ac:dyDescent="0.2">
      <c r="A2801" s="49" t="str">
        <f t="shared" si="43"/>
        <v/>
      </c>
    </row>
    <row r="2802" spans="1:1" x14ac:dyDescent="0.2">
      <c r="A2802" s="49" t="str">
        <f t="shared" si="43"/>
        <v/>
      </c>
    </row>
    <row r="2803" spans="1:1" x14ac:dyDescent="0.2">
      <c r="A2803" s="49" t="str">
        <f t="shared" si="43"/>
        <v/>
      </c>
    </row>
    <row r="2804" spans="1:1" x14ac:dyDescent="0.2">
      <c r="A2804" s="49" t="str">
        <f t="shared" si="43"/>
        <v/>
      </c>
    </row>
    <row r="2805" spans="1:1" x14ac:dyDescent="0.2">
      <c r="A2805" s="49" t="str">
        <f t="shared" si="43"/>
        <v/>
      </c>
    </row>
    <row r="2806" spans="1:1" x14ac:dyDescent="0.2">
      <c r="A2806" s="49" t="str">
        <f t="shared" si="43"/>
        <v/>
      </c>
    </row>
    <row r="2807" spans="1:1" x14ac:dyDescent="0.2">
      <c r="A2807" s="49" t="str">
        <f t="shared" si="43"/>
        <v/>
      </c>
    </row>
    <row r="2808" spans="1:1" x14ac:dyDescent="0.2">
      <c r="A2808" s="49" t="str">
        <f t="shared" si="43"/>
        <v/>
      </c>
    </row>
    <row r="2809" spans="1:1" x14ac:dyDescent="0.2">
      <c r="A2809" s="49" t="str">
        <f t="shared" si="43"/>
        <v/>
      </c>
    </row>
    <row r="2810" spans="1:1" x14ac:dyDescent="0.2">
      <c r="A2810" s="49" t="str">
        <f t="shared" si="43"/>
        <v/>
      </c>
    </row>
    <row r="2811" spans="1:1" x14ac:dyDescent="0.2">
      <c r="A2811" s="49" t="str">
        <f t="shared" si="43"/>
        <v/>
      </c>
    </row>
    <row r="2812" spans="1:1" x14ac:dyDescent="0.2">
      <c r="A2812" s="49" t="str">
        <f t="shared" si="43"/>
        <v/>
      </c>
    </row>
    <row r="2813" spans="1:1" x14ac:dyDescent="0.2">
      <c r="A2813" s="49" t="str">
        <f t="shared" si="43"/>
        <v/>
      </c>
    </row>
    <row r="2814" spans="1:1" x14ac:dyDescent="0.2">
      <c r="A2814" s="49" t="str">
        <f t="shared" si="43"/>
        <v/>
      </c>
    </row>
    <row r="2815" spans="1:1" x14ac:dyDescent="0.2">
      <c r="A2815" s="49" t="str">
        <f t="shared" si="43"/>
        <v/>
      </c>
    </row>
    <row r="2816" spans="1:1" x14ac:dyDescent="0.2">
      <c r="A2816" s="49" t="str">
        <f t="shared" si="43"/>
        <v/>
      </c>
    </row>
    <row r="2817" spans="1:1" x14ac:dyDescent="0.2">
      <c r="A2817" s="49" t="str">
        <f t="shared" si="43"/>
        <v/>
      </c>
    </row>
    <row r="2818" spans="1:1" x14ac:dyDescent="0.2">
      <c r="A2818" s="49" t="str">
        <f t="shared" si="43"/>
        <v/>
      </c>
    </row>
    <row r="2819" spans="1:1" x14ac:dyDescent="0.2">
      <c r="A2819" s="49" t="str">
        <f t="shared" si="43"/>
        <v/>
      </c>
    </row>
    <row r="2820" spans="1:1" x14ac:dyDescent="0.2">
      <c r="A2820" s="49" t="str">
        <f t="shared" ref="A2820:A2883" si="44">IF(AND(B2819&lt;&gt;"",B2820=""),$A$2&amp;"---&gt;","")</f>
        <v/>
      </c>
    </row>
    <row r="2821" spans="1:1" x14ac:dyDescent="0.2">
      <c r="A2821" s="49" t="str">
        <f t="shared" si="44"/>
        <v/>
      </c>
    </row>
    <row r="2822" spans="1:1" x14ac:dyDescent="0.2">
      <c r="A2822" s="49" t="str">
        <f t="shared" si="44"/>
        <v/>
      </c>
    </row>
    <row r="2823" spans="1:1" x14ac:dyDescent="0.2">
      <c r="A2823" s="49" t="str">
        <f t="shared" si="44"/>
        <v/>
      </c>
    </row>
    <row r="2824" spans="1:1" x14ac:dyDescent="0.2">
      <c r="A2824" s="49" t="str">
        <f t="shared" si="44"/>
        <v/>
      </c>
    </row>
    <row r="2825" spans="1:1" x14ac:dyDescent="0.2">
      <c r="A2825" s="49" t="str">
        <f t="shared" si="44"/>
        <v/>
      </c>
    </row>
    <row r="2826" spans="1:1" x14ac:dyDescent="0.2">
      <c r="A2826" s="49" t="str">
        <f t="shared" si="44"/>
        <v/>
      </c>
    </row>
    <row r="2827" spans="1:1" x14ac:dyDescent="0.2">
      <c r="A2827" s="49" t="str">
        <f t="shared" si="44"/>
        <v/>
      </c>
    </row>
    <row r="2828" spans="1:1" x14ac:dyDescent="0.2">
      <c r="A2828" s="49" t="str">
        <f t="shared" si="44"/>
        <v/>
      </c>
    </row>
    <row r="2829" spans="1:1" x14ac:dyDescent="0.2">
      <c r="A2829" s="49" t="str">
        <f t="shared" si="44"/>
        <v/>
      </c>
    </row>
    <row r="2830" spans="1:1" x14ac:dyDescent="0.2">
      <c r="A2830" s="49" t="str">
        <f t="shared" si="44"/>
        <v/>
      </c>
    </row>
    <row r="2831" spans="1:1" x14ac:dyDescent="0.2">
      <c r="A2831" s="49" t="str">
        <f t="shared" si="44"/>
        <v/>
      </c>
    </row>
    <row r="2832" spans="1:1" x14ac:dyDescent="0.2">
      <c r="A2832" s="49" t="str">
        <f t="shared" si="44"/>
        <v/>
      </c>
    </row>
    <row r="2833" spans="1:1" x14ac:dyDescent="0.2">
      <c r="A2833" s="49" t="str">
        <f t="shared" si="44"/>
        <v/>
      </c>
    </row>
    <row r="2834" spans="1:1" x14ac:dyDescent="0.2">
      <c r="A2834" s="49" t="str">
        <f t="shared" si="44"/>
        <v/>
      </c>
    </row>
    <row r="2835" spans="1:1" x14ac:dyDescent="0.2">
      <c r="A2835" s="49" t="str">
        <f t="shared" si="44"/>
        <v/>
      </c>
    </row>
    <row r="2836" spans="1:1" x14ac:dyDescent="0.2">
      <c r="A2836" s="49" t="str">
        <f t="shared" si="44"/>
        <v/>
      </c>
    </row>
    <row r="2837" spans="1:1" x14ac:dyDescent="0.2">
      <c r="A2837" s="49" t="str">
        <f t="shared" si="44"/>
        <v/>
      </c>
    </row>
    <row r="2838" spans="1:1" x14ac:dyDescent="0.2">
      <c r="A2838" s="49" t="str">
        <f t="shared" si="44"/>
        <v/>
      </c>
    </row>
    <row r="2839" spans="1:1" x14ac:dyDescent="0.2">
      <c r="A2839" s="49" t="str">
        <f t="shared" si="44"/>
        <v/>
      </c>
    </row>
    <row r="2840" spans="1:1" x14ac:dyDescent="0.2">
      <c r="A2840" s="49" t="str">
        <f t="shared" si="44"/>
        <v/>
      </c>
    </row>
    <row r="2841" spans="1:1" x14ac:dyDescent="0.2">
      <c r="A2841" s="49" t="str">
        <f t="shared" si="44"/>
        <v/>
      </c>
    </row>
    <row r="2842" spans="1:1" x14ac:dyDescent="0.2">
      <c r="A2842" s="49" t="str">
        <f t="shared" si="44"/>
        <v/>
      </c>
    </row>
    <row r="2843" spans="1:1" x14ac:dyDescent="0.2">
      <c r="A2843" s="49" t="str">
        <f t="shared" si="44"/>
        <v/>
      </c>
    </row>
    <row r="2844" spans="1:1" x14ac:dyDescent="0.2">
      <c r="A2844" s="49" t="str">
        <f t="shared" si="44"/>
        <v/>
      </c>
    </row>
    <row r="2845" spans="1:1" x14ac:dyDescent="0.2">
      <c r="A2845" s="49" t="str">
        <f t="shared" si="44"/>
        <v/>
      </c>
    </row>
    <row r="2846" spans="1:1" x14ac:dyDescent="0.2">
      <c r="A2846" s="49" t="str">
        <f t="shared" si="44"/>
        <v/>
      </c>
    </row>
    <row r="2847" spans="1:1" x14ac:dyDescent="0.2">
      <c r="A2847" s="49" t="str">
        <f t="shared" si="44"/>
        <v/>
      </c>
    </row>
    <row r="2848" spans="1:1" x14ac:dyDescent="0.2">
      <c r="A2848" s="49" t="str">
        <f t="shared" si="44"/>
        <v/>
      </c>
    </row>
    <row r="2849" spans="1:1" x14ac:dyDescent="0.2">
      <c r="A2849" s="49" t="str">
        <f t="shared" si="44"/>
        <v/>
      </c>
    </row>
    <row r="2850" spans="1:1" x14ac:dyDescent="0.2">
      <c r="A2850" s="49" t="str">
        <f t="shared" si="44"/>
        <v/>
      </c>
    </row>
    <row r="2851" spans="1:1" x14ac:dyDescent="0.2">
      <c r="A2851" s="49" t="str">
        <f t="shared" si="44"/>
        <v/>
      </c>
    </row>
    <row r="2852" spans="1:1" x14ac:dyDescent="0.2">
      <c r="A2852" s="49" t="str">
        <f t="shared" si="44"/>
        <v/>
      </c>
    </row>
    <row r="2853" spans="1:1" x14ac:dyDescent="0.2">
      <c r="A2853" s="49" t="str">
        <f t="shared" si="44"/>
        <v/>
      </c>
    </row>
    <row r="2854" spans="1:1" x14ac:dyDescent="0.2">
      <c r="A2854" s="49" t="str">
        <f t="shared" si="44"/>
        <v/>
      </c>
    </row>
    <row r="2855" spans="1:1" x14ac:dyDescent="0.2">
      <c r="A2855" s="49" t="str">
        <f t="shared" si="44"/>
        <v/>
      </c>
    </row>
    <row r="2856" spans="1:1" x14ac:dyDescent="0.2">
      <c r="A2856" s="49" t="str">
        <f t="shared" si="44"/>
        <v/>
      </c>
    </row>
    <row r="2857" spans="1:1" x14ac:dyDescent="0.2">
      <c r="A2857" s="49" t="str">
        <f t="shared" si="44"/>
        <v/>
      </c>
    </row>
    <row r="2858" spans="1:1" x14ac:dyDescent="0.2">
      <c r="A2858" s="49" t="str">
        <f t="shared" si="44"/>
        <v/>
      </c>
    </row>
    <row r="2859" spans="1:1" x14ac:dyDescent="0.2">
      <c r="A2859" s="49" t="str">
        <f t="shared" si="44"/>
        <v/>
      </c>
    </row>
    <row r="2860" spans="1:1" x14ac:dyDescent="0.2">
      <c r="A2860" s="49" t="str">
        <f t="shared" si="44"/>
        <v/>
      </c>
    </row>
    <row r="2861" spans="1:1" x14ac:dyDescent="0.2">
      <c r="A2861" s="49" t="str">
        <f t="shared" si="44"/>
        <v/>
      </c>
    </row>
    <row r="2862" spans="1:1" x14ac:dyDescent="0.2">
      <c r="A2862" s="49" t="str">
        <f t="shared" si="44"/>
        <v/>
      </c>
    </row>
    <row r="2863" spans="1:1" x14ac:dyDescent="0.2">
      <c r="A2863" s="49" t="str">
        <f t="shared" si="44"/>
        <v/>
      </c>
    </row>
    <row r="2864" spans="1:1" x14ac:dyDescent="0.2">
      <c r="A2864" s="49" t="str">
        <f t="shared" si="44"/>
        <v/>
      </c>
    </row>
    <row r="2865" spans="1:1" x14ac:dyDescent="0.2">
      <c r="A2865" s="49" t="str">
        <f t="shared" si="44"/>
        <v/>
      </c>
    </row>
    <row r="2866" spans="1:1" x14ac:dyDescent="0.2">
      <c r="A2866" s="49" t="str">
        <f t="shared" si="44"/>
        <v/>
      </c>
    </row>
    <row r="2867" spans="1:1" x14ac:dyDescent="0.2">
      <c r="A2867" s="49" t="str">
        <f t="shared" si="44"/>
        <v/>
      </c>
    </row>
    <row r="2868" spans="1:1" x14ac:dyDescent="0.2">
      <c r="A2868" s="49" t="str">
        <f t="shared" si="44"/>
        <v/>
      </c>
    </row>
    <row r="2869" spans="1:1" x14ac:dyDescent="0.2">
      <c r="A2869" s="49" t="str">
        <f t="shared" si="44"/>
        <v/>
      </c>
    </row>
    <row r="2870" spans="1:1" x14ac:dyDescent="0.2">
      <c r="A2870" s="49" t="str">
        <f t="shared" si="44"/>
        <v/>
      </c>
    </row>
    <row r="2871" spans="1:1" x14ac:dyDescent="0.2">
      <c r="A2871" s="49" t="str">
        <f t="shared" si="44"/>
        <v/>
      </c>
    </row>
    <row r="2872" spans="1:1" x14ac:dyDescent="0.2">
      <c r="A2872" s="49" t="str">
        <f t="shared" si="44"/>
        <v/>
      </c>
    </row>
    <row r="2873" spans="1:1" x14ac:dyDescent="0.2">
      <c r="A2873" s="49" t="str">
        <f t="shared" si="44"/>
        <v/>
      </c>
    </row>
    <row r="2874" spans="1:1" x14ac:dyDescent="0.2">
      <c r="A2874" s="49" t="str">
        <f t="shared" si="44"/>
        <v/>
      </c>
    </row>
    <row r="2875" spans="1:1" x14ac:dyDescent="0.2">
      <c r="A2875" s="49" t="str">
        <f t="shared" si="44"/>
        <v/>
      </c>
    </row>
    <row r="2876" spans="1:1" x14ac:dyDescent="0.2">
      <c r="A2876" s="49" t="str">
        <f t="shared" si="44"/>
        <v/>
      </c>
    </row>
    <row r="2877" spans="1:1" x14ac:dyDescent="0.2">
      <c r="A2877" s="49" t="str">
        <f t="shared" si="44"/>
        <v/>
      </c>
    </row>
    <row r="2878" spans="1:1" x14ac:dyDescent="0.2">
      <c r="A2878" s="49" t="str">
        <f t="shared" si="44"/>
        <v/>
      </c>
    </row>
    <row r="2879" spans="1:1" x14ac:dyDescent="0.2">
      <c r="A2879" s="49" t="str">
        <f t="shared" si="44"/>
        <v/>
      </c>
    </row>
    <row r="2880" spans="1:1" x14ac:dyDescent="0.2">
      <c r="A2880" s="49" t="str">
        <f t="shared" si="44"/>
        <v/>
      </c>
    </row>
    <row r="2881" spans="1:1" x14ac:dyDescent="0.2">
      <c r="A2881" s="49" t="str">
        <f t="shared" si="44"/>
        <v/>
      </c>
    </row>
    <row r="2882" spans="1:1" x14ac:dyDescent="0.2">
      <c r="A2882" s="49" t="str">
        <f t="shared" si="44"/>
        <v/>
      </c>
    </row>
    <row r="2883" spans="1:1" x14ac:dyDescent="0.2">
      <c r="A2883" s="49" t="str">
        <f t="shared" si="44"/>
        <v/>
      </c>
    </row>
    <row r="2884" spans="1:1" x14ac:dyDescent="0.2">
      <c r="A2884" s="49" t="str">
        <f t="shared" ref="A2884:A2947" si="45">IF(AND(B2883&lt;&gt;"",B2884=""),$A$2&amp;"---&gt;","")</f>
        <v/>
      </c>
    </row>
    <row r="2885" spans="1:1" x14ac:dyDescent="0.2">
      <c r="A2885" s="49" t="str">
        <f t="shared" si="45"/>
        <v/>
      </c>
    </row>
    <row r="2886" spans="1:1" x14ac:dyDescent="0.2">
      <c r="A2886" s="49" t="str">
        <f t="shared" si="45"/>
        <v/>
      </c>
    </row>
    <row r="2887" spans="1:1" x14ac:dyDescent="0.2">
      <c r="A2887" s="49" t="str">
        <f t="shared" si="45"/>
        <v/>
      </c>
    </row>
    <row r="2888" spans="1:1" x14ac:dyDescent="0.2">
      <c r="A2888" s="49" t="str">
        <f t="shared" si="45"/>
        <v/>
      </c>
    </row>
    <row r="2889" spans="1:1" x14ac:dyDescent="0.2">
      <c r="A2889" s="49" t="str">
        <f t="shared" si="45"/>
        <v/>
      </c>
    </row>
    <row r="2890" spans="1:1" x14ac:dyDescent="0.2">
      <c r="A2890" s="49" t="str">
        <f t="shared" si="45"/>
        <v/>
      </c>
    </row>
    <row r="2891" spans="1:1" x14ac:dyDescent="0.2">
      <c r="A2891" s="49" t="str">
        <f t="shared" si="45"/>
        <v/>
      </c>
    </row>
    <row r="2892" spans="1:1" x14ac:dyDescent="0.2">
      <c r="A2892" s="49" t="str">
        <f t="shared" si="45"/>
        <v/>
      </c>
    </row>
    <row r="2893" spans="1:1" x14ac:dyDescent="0.2">
      <c r="A2893" s="49" t="str">
        <f t="shared" si="45"/>
        <v/>
      </c>
    </row>
    <row r="2894" spans="1:1" x14ac:dyDescent="0.2">
      <c r="A2894" s="49" t="str">
        <f t="shared" si="45"/>
        <v/>
      </c>
    </row>
    <row r="2895" spans="1:1" x14ac:dyDescent="0.2">
      <c r="A2895" s="49" t="str">
        <f t="shared" si="45"/>
        <v/>
      </c>
    </row>
    <row r="2896" spans="1:1" x14ac:dyDescent="0.2">
      <c r="A2896" s="49" t="str">
        <f t="shared" si="45"/>
        <v/>
      </c>
    </row>
    <row r="2897" spans="1:1" x14ac:dyDescent="0.2">
      <c r="A2897" s="49" t="str">
        <f t="shared" si="45"/>
        <v/>
      </c>
    </row>
    <row r="2898" spans="1:1" x14ac:dyDescent="0.2">
      <c r="A2898" s="49" t="str">
        <f t="shared" si="45"/>
        <v/>
      </c>
    </row>
    <row r="2899" spans="1:1" x14ac:dyDescent="0.2">
      <c r="A2899" s="49" t="str">
        <f t="shared" si="45"/>
        <v/>
      </c>
    </row>
    <row r="2900" spans="1:1" x14ac:dyDescent="0.2">
      <c r="A2900" s="49" t="str">
        <f t="shared" si="45"/>
        <v/>
      </c>
    </row>
    <row r="2901" spans="1:1" x14ac:dyDescent="0.2">
      <c r="A2901" s="49" t="str">
        <f t="shared" si="45"/>
        <v/>
      </c>
    </row>
    <row r="2902" spans="1:1" x14ac:dyDescent="0.2">
      <c r="A2902" s="49" t="str">
        <f t="shared" si="45"/>
        <v/>
      </c>
    </row>
    <row r="2903" spans="1:1" x14ac:dyDescent="0.2">
      <c r="A2903" s="49" t="str">
        <f t="shared" si="45"/>
        <v/>
      </c>
    </row>
    <row r="2904" spans="1:1" x14ac:dyDescent="0.2">
      <c r="A2904" s="49" t="str">
        <f t="shared" si="45"/>
        <v/>
      </c>
    </row>
    <row r="2905" spans="1:1" x14ac:dyDescent="0.2">
      <c r="A2905" s="49" t="str">
        <f t="shared" si="45"/>
        <v/>
      </c>
    </row>
    <row r="2906" spans="1:1" x14ac:dyDescent="0.2">
      <c r="A2906" s="49" t="str">
        <f t="shared" si="45"/>
        <v/>
      </c>
    </row>
    <row r="2907" spans="1:1" x14ac:dyDescent="0.2">
      <c r="A2907" s="49" t="str">
        <f t="shared" si="45"/>
        <v/>
      </c>
    </row>
    <row r="2908" spans="1:1" x14ac:dyDescent="0.2">
      <c r="A2908" s="49" t="str">
        <f t="shared" si="45"/>
        <v/>
      </c>
    </row>
    <row r="2909" spans="1:1" x14ac:dyDescent="0.2">
      <c r="A2909" s="49" t="str">
        <f t="shared" si="45"/>
        <v/>
      </c>
    </row>
    <row r="2910" spans="1:1" x14ac:dyDescent="0.2">
      <c r="A2910" s="49" t="str">
        <f t="shared" si="45"/>
        <v/>
      </c>
    </row>
    <row r="2911" spans="1:1" x14ac:dyDescent="0.2">
      <c r="A2911" s="49" t="str">
        <f t="shared" si="45"/>
        <v/>
      </c>
    </row>
    <row r="2912" spans="1:1" x14ac:dyDescent="0.2">
      <c r="A2912" s="49" t="str">
        <f t="shared" si="45"/>
        <v/>
      </c>
    </row>
    <row r="2913" spans="1:1" x14ac:dyDescent="0.2">
      <c r="A2913" s="49" t="str">
        <f t="shared" si="45"/>
        <v/>
      </c>
    </row>
    <row r="2914" spans="1:1" x14ac:dyDescent="0.2">
      <c r="A2914" s="49" t="str">
        <f t="shared" si="45"/>
        <v/>
      </c>
    </row>
    <row r="2915" spans="1:1" x14ac:dyDescent="0.2">
      <c r="A2915" s="49" t="str">
        <f t="shared" si="45"/>
        <v/>
      </c>
    </row>
    <row r="2916" spans="1:1" x14ac:dyDescent="0.2">
      <c r="A2916" s="49" t="str">
        <f t="shared" si="45"/>
        <v/>
      </c>
    </row>
    <row r="2917" spans="1:1" x14ac:dyDescent="0.2">
      <c r="A2917" s="49" t="str">
        <f t="shared" si="45"/>
        <v/>
      </c>
    </row>
    <row r="2918" spans="1:1" x14ac:dyDescent="0.2">
      <c r="A2918" s="49" t="str">
        <f t="shared" si="45"/>
        <v/>
      </c>
    </row>
    <row r="2919" spans="1:1" x14ac:dyDescent="0.2">
      <c r="A2919" s="49" t="str">
        <f t="shared" si="45"/>
        <v/>
      </c>
    </row>
    <row r="2920" spans="1:1" x14ac:dyDescent="0.2">
      <c r="A2920" s="49" t="str">
        <f t="shared" si="45"/>
        <v/>
      </c>
    </row>
    <row r="2921" spans="1:1" x14ac:dyDescent="0.2">
      <c r="A2921" s="49" t="str">
        <f t="shared" si="45"/>
        <v/>
      </c>
    </row>
    <row r="2922" spans="1:1" x14ac:dyDescent="0.2">
      <c r="A2922" s="49" t="str">
        <f t="shared" si="45"/>
        <v/>
      </c>
    </row>
    <row r="2923" spans="1:1" x14ac:dyDescent="0.2">
      <c r="A2923" s="49" t="str">
        <f t="shared" si="45"/>
        <v/>
      </c>
    </row>
    <row r="2924" spans="1:1" x14ac:dyDescent="0.2">
      <c r="A2924" s="49" t="str">
        <f t="shared" si="45"/>
        <v/>
      </c>
    </row>
    <row r="2925" spans="1:1" x14ac:dyDescent="0.2">
      <c r="A2925" s="49" t="str">
        <f t="shared" si="45"/>
        <v/>
      </c>
    </row>
    <row r="2926" spans="1:1" x14ac:dyDescent="0.2">
      <c r="A2926" s="49" t="str">
        <f t="shared" si="45"/>
        <v/>
      </c>
    </row>
    <row r="2927" spans="1:1" x14ac:dyDescent="0.2">
      <c r="A2927" s="49" t="str">
        <f t="shared" si="45"/>
        <v/>
      </c>
    </row>
    <row r="2928" spans="1:1" x14ac:dyDescent="0.2">
      <c r="A2928" s="49" t="str">
        <f t="shared" si="45"/>
        <v/>
      </c>
    </row>
    <row r="2929" spans="1:1" x14ac:dyDescent="0.2">
      <c r="A2929" s="49" t="str">
        <f t="shared" si="45"/>
        <v/>
      </c>
    </row>
    <row r="2930" spans="1:1" x14ac:dyDescent="0.2">
      <c r="A2930" s="49" t="str">
        <f t="shared" si="45"/>
        <v/>
      </c>
    </row>
    <row r="2931" spans="1:1" x14ac:dyDescent="0.2">
      <c r="A2931" s="49" t="str">
        <f t="shared" si="45"/>
        <v/>
      </c>
    </row>
    <row r="2932" spans="1:1" x14ac:dyDescent="0.2">
      <c r="A2932" s="49" t="str">
        <f t="shared" si="45"/>
        <v/>
      </c>
    </row>
    <row r="2933" spans="1:1" x14ac:dyDescent="0.2">
      <c r="A2933" s="49" t="str">
        <f t="shared" si="45"/>
        <v/>
      </c>
    </row>
    <row r="2934" spans="1:1" x14ac:dyDescent="0.2">
      <c r="A2934" s="49" t="str">
        <f t="shared" si="45"/>
        <v/>
      </c>
    </row>
    <row r="2935" spans="1:1" x14ac:dyDescent="0.2">
      <c r="A2935" s="49" t="str">
        <f t="shared" si="45"/>
        <v/>
      </c>
    </row>
    <row r="2936" spans="1:1" x14ac:dyDescent="0.2">
      <c r="A2936" s="49" t="str">
        <f t="shared" si="45"/>
        <v/>
      </c>
    </row>
    <row r="2937" spans="1:1" x14ac:dyDescent="0.2">
      <c r="A2937" s="49" t="str">
        <f t="shared" si="45"/>
        <v/>
      </c>
    </row>
    <row r="2938" spans="1:1" x14ac:dyDescent="0.2">
      <c r="A2938" s="49" t="str">
        <f t="shared" si="45"/>
        <v/>
      </c>
    </row>
    <row r="2939" spans="1:1" x14ac:dyDescent="0.2">
      <c r="A2939" s="49" t="str">
        <f t="shared" si="45"/>
        <v/>
      </c>
    </row>
    <row r="2940" spans="1:1" x14ac:dyDescent="0.2">
      <c r="A2940" s="49" t="str">
        <f t="shared" si="45"/>
        <v/>
      </c>
    </row>
    <row r="2941" spans="1:1" x14ac:dyDescent="0.2">
      <c r="A2941" s="49" t="str">
        <f t="shared" si="45"/>
        <v/>
      </c>
    </row>
    <row r="2942" spans="1:1" x14ac:dyDescent="0.2">
      <c r="A2942" s="49" t="str">
        <f t="shared" si="45"/>
        <v/>
      </c>
    </row>
    <row r="2943" spans="1:1" x14ac:dyDescent="0.2">
      <c r="A2943" s="49" t="str">
        <f t="shared" si="45"/>
        <v/>
      </c>
    </row>
    <row r="2944" spans="1:1" x14ac:dyDescent="0.2">
      <c r="A2944" s="49" t="str">
        <f t="shared" si="45"/>
        <v/>
      </c>
    </row>
    <row r="2945" spans="1:1" x14ac:dyDescent="0.2">
      <c r="A2945" s="49" t="str">
        <f t="shared" si="45"/>
        <v/>
      </c>
    </row>
    <row r="2946" spans="1:1" x14ac:dyDescent="0.2">
      <c r="A2946" s="49" t="str">
        <f t="shared" si="45"/>
        <v/>
      </c>
    </row>
    <row r="2947" spans="1:1" x14ac:dyDescent="0.2">
      <c r="A2947" s="49" t="str">
        <f t="shared" si="45"/>
        <v/>
      </c>
    </row>
    <row r="2948" spans="1:1" x14ac:dyDescent="0.2">
      <c r="A2948" s="49" t="str">
        <f t="shared" ref="A2948:A2990" si="46">IF(AND(B2947&lt;&gt;"",B2948=""),$A$2&amp;"---&gt;","")</f>
        <v/>
      </c>
    </row>
    <row r="2949" spans="1:1" x14ac:dyDescent="0.2">
      <c r="A2949" s="49" t="str">
        <f t="shared" si="46"/>
        <v/>
      </c>
    </row>
    <row r="2950" spans="1:1" x14ac:dyDescent="0.2">
      <c r="A2950" s="49" t="str">
        <f t="shared" si="46"/>
        <v/>
      </c>
    </row>
    <row r="2951" spans="1:1" x14ac:dyDescent="0.2">
      <c r="A2951" s="49" t="str">
        <f t="shared" si="46"/>
        <v/>
      </c>
    </row>
    <row r="2952" spans="1:1" x14ac:dyDescent="0.2">
      <c r="A2952" s="49" t="str">
        <f t="shared" si="46"/>
        <v/>
      </c>
    </row>
    <row r="2953" spans="1:1" x14ac:dyDescent="0.2">
      <c r="A2953" s="49" t="str">
        <f t="shared" si="46"/>
        <v/>
      </c>
    </row>
    <row r="2954" spans="1:1" x14ac:dyDescent="0.2">
      <c r="A2954" s="49" t="str">
        <f t="shared" si="46"/>
        <v/>
      </c>
    </row>
    <row r="2955" spans="1:1" x14ac:dyDescent="0.2">
      <c r="A2955" s="49" t="str">
        <f t="shared" si="46"/>
        <v/>
      </c>
    </row>
    <row r="2956" spans="1:1" x14ac:dyDescent="0.2">
      <c r="A2956" s="49" t="str">
        <f t="shared" si="46"/>
        <v/>
      </c>
    </row>
    <row r="2957" spans="1:1" x14ac:dyDescent="0.2">
      <c r="A2957" s="49" t="str">
        <f t="shared" si="46"/>
        <v/>
      </c>
    </row>
    <row r="2958" spans="1:1" x14ac:dyDescent="0.2">
      <c r="A2958" s="49" t="str">
        <f t="shared" si="46"/>
        <v/>
      </c>
    </row>
    <row r="2959" spans="1:1" x14ac:dyDescent="0.2">
      <c r="A2959" s="49" t="str">
        <f t="shared" si="46"/>
        <v/>
      </c>
    </row>
    <row r="2960" spans="1:1" x14ac:dyDescent="0.2">
      <c r="A2960" s="49" t="str">
        <f t="shared" si="46"/>
        <v/>
      </c>
    </row>
    <row r="2961" spans="1:1" x14ac:dyDescent="0.2">
      <c r="A2961" s="49" t="str">
        <f t="shared" si="46"/>
        <v/>
      </c>
    </row>
    <row r="2962" spans="1:1" x14ac:dyDescent="0.2">
      <c r="A2962" s="49" t="str">
        <f t="shared" si="46"/>
        <v/>
      </c>
    </row>
    <row r="2963" spans="1:1" x14ac:dyDescent="0.2">
      <c r="A2963" s="49" t="str">
        <f t="shared" si="46"/>
        <v/>
      </c>
    </row>
    <row r="2964" spans="1:1" x14ac:dyDescent="0.2">
      <c r="A2964" s="49" t="str">
        <f t="shared" si="46"/>
        <v/>
      </c>
    </row>
    <row r="2965" spans="1:1" x14ac:dyDescent="0.2">
      <c r="A2965" s="49" t="str">
        <f t="shared" si="46"/>
        <v/>
      </c>
    </row>
    <row r="2966" spans="1:1" x14ac:dyDescent="0.2">
      <c r="A2966" s="49" t="str">
        <f t="shared" si="46"/>
        <v/>
      </c>
    </row>
    <row r="2967" spans="1:1" x14ac:dyDescent="0.2">
      <c r="A2967" s="49" t="str">
        <f t="shared" si="46"/>
        <v/>
      </c>
    </row>
    <row r="2968" spans="1:1" x14ac:dyDescent="0.2">
      <c r="A2968" s="49" t="str">
        <f t="shared" si="46"/>
        <v/>
      </c>
    </row>
    <row r="2969" spans="1:1" x14ac:dyDescent="0.2">
      <c r="A2969" s="49" t="str">
        <f t="shared" si="46"/>
        <v/>
      </c>
    </row>
    <row r="2970" spans="1:1" x14ac:dyDescent="0.2">
      <c r="A2970" s="49" t="str">
        <f t="shared" si="46"/>
        <v/>
      </c>
    </row>
    <row r="2971" spans="1:1" x14ac:dyDescent="0.2">
      <c r="A2971" s="49" t="str">
        <f t="shared" si="46"/>
        <v/>
      </c>
    </row>
    <row r="2972" spans="1:1" x14ac:dyDescent="0.2">
      <c r="A2972" s="49" t="str">
        <f t="shared" si="46"/>
        <v/>
      </c>
    </row>
    <row r="2973" spans="1:1" x14ac:dyDescent="0.2">
      <c r="A2973" s="49" t="str">
        <f t="shared" si="46"/>
        <v/>
      </c>
    </row>
    <row r="2974" spans="1:1" x14ac:dyDescent="0.2">
      <c r="A2974" s="49" t="str">
        <f t="shared" si="46"/>
        <v/>
      </c>
    </row>
    <row r="2975" spans="1:1" x14ac:dyDescent="0.2">
      <c r="A2975" s="49" t="str">
        <f t="shared" si="46"/>
        <v/>
      </c>
    </row>
    <row r="2976" spans="1:1" x14ac:dyDescent="0.2">
      <c r="A2976" s="49" t="str">
        <f t="shared" si="46"/>
        <v/>
      </c>
    </row>
    <row r="2977" spans="1:1" x14ac:dyDescent="0.2">
      <c r="A2977" s="49" t="str">
        <f t="shared" si="46"/>
        <v/>
      </c>
    </row>
    <row r="2978" spans="1:1" x14ac:dyDescent="0.2">
      <c r="A2978" s="49" t="str">
        <f t="shared" si="46"/>
        <v/>
      </c>
    </row>
    <row r="2979" spans="1:1" x14ac:dyDescent="0.2">
      <c r="A2979" s="49" t="str">
        <f t="shared" si="46"/>
        <v/>
      </c>
    </row>
    <row r="2980" spans="1:1" x14ac:dyDescent="0.2">
      <c r="A2980" s="49" t="str">
        <f t="shared" si="46"/>
        <v/>
      </c>
    </row>
    <row r="2981" spans="1:1" x14ac:dyDescent="0.2">
      <c r="A2981" s="49" t="str">
        <f t="shared" si="46"/>
        <v/>
      </c>
    </row>
    <row r="2982" spans="1:1" x14ac:dyDescent="0.2">
      <c r="A2982" s="49" t="str">
        <f t="shared" si="46"/>
        <v/>
      </c>
    </row>
    <row r="2983" spans="1:1" x14ac:dyDescent="0.2">
      <c r="A2983" s="49" t="str">
        <f t="shared" si="46"/>
        <v/>
      </c>
    </row>
    <row r="2984" spans="1:1" x14ac:dyDescent="0.2">
      <c r="A2984" s="49" t="str">
        <f t="shared" si="46"/>
        <v/>
      </c>
    </row>
    <row r="2985" spans="1:1" x14ac:dyDescent="0.2">
      <c r="A2985" s="49" t="str">
        <f t="shared" si="46"/>
        <v/>
      </c>
    </row>
    <row r="2986" spans="1:1" x14ac:dyDescent="0.2">
      <c r="A2986" s="49" t="str">
        <f t="shared" si="46"/>
        <v/>
      </c>
    </row>
    <row r="2987" spans="1:1" x14ac:dyDescent="0.2">
      <c r="A2987" s="49" t="str">
        <f t="shared" si="46"/>
        <v/>
      </c>
    </row>
    <row r="2988" spans="1:1" x14ac:dyDescent="0.2">
      <c r="A2988" s="49" t="str">
        <f t="shared" si="46"/>
        <v/>
      </c>
    </row>
    <row r="2989" spans="1:1" x14ac:dyDescent="0.2">
      <c r="A2989" s="49" t="str">
        <f t="shared" si="46"/>
        <v/>
      </c>
    </row>
    <row r="2990" spans="1:1" x14ac:dyDescent="0.2">
      <c r="A2990" s="49" t="str">
        <f t="shared" si="46"/>
        <v/>
      </c>
    </row>
  </sheetData>
  <phoneticPr fontId="6" type="noConversion"/>
  <conditionalFormatting sqref="Q3:R43">
    <cfRule type="dataBar" priority="3">
      <dataBar>
        <cfvo type="num" val="0"/>
        <cfvo type="num" val="1"/>
        <color rgb="FF8FCFAD"/>
      </dataBar>
      <extLst>
        <ext xmlns:x14="http://schemas.microsoft.com/office/spreadsheetml/2009/9/main" uri="{B025F937-C7B1-47D3-B67F-A62EFF666E3E}">
          <x14:id>{64AB93D2-7D74-4DE8-8540-FB447A9936E6}</x14:id>
        </ext>
      </extLst>
    </cfRule>
  </conditionalFormatting>
  <conditionalFormatting sqref="J3:J43">
    <cfRule type="containsText" dxfId="42" priority="1" operator="containsText" text="Negative">
      <formula>NOT(ISERROR(SEARCH("Negative",J3)))</formula>
    </cfRule>
    <cfRule type="containsText" dxfId="41" priority="2" operator="containsText" text="Positive">
      <formula>NOT(ISERROR(SEARCH("Positive",J3)))</formula>
    </cfRule>
  </conditionalFormatting>
  <dataValidations count="6">
    <dataValidation type="list" allowBlank="1" showInputMessage="1" showErrorMessage="1" sqref="K3:K4" xr:uid="{40865E6E-C02A-4969-94C4-2BA4D1DBA8E5}">
      <formula1>"Confirmed, Suspected"</formula1>
    </dataValidation>
    <dataValidation type="list" allowBlank="1" showInputMessage="1" showErrorMessage="1" sqref="S3:S43 J3:J196" xr:uid="{4FC0812D-51D6-4438-BCF3-6227E28C917A}">
      <formula1>"Positive, Negative"</formula1>
    </dataValidation>
    <dataValidation type="list" allowBlank="1" showInputMessage="1" showErrorMessage="1" sqref="T3:T43" xr:uid="{D95F384D-2B55-4C9D-B822-BA9FFFA2E112}">
      <formula1>"Recovered, Isolate"</formula1>
    </dataValidation>
    <dataValidation type="date" allowBlank="1" showInputMessage="1" showErrorMessage="1" sqref="B3:B43" xr:uid="{8900E576-B093-444F-AE53-758294F26B61}">
      <formula1>1</formula1>
      <formula2>69763</formula2>
    </dataValidation>
    <dataValidation type="list" allowBlank="1" showInputMessage="1" showErrorMessage="1" sqref="K5:K196" xr:uid="{A493BBAA-AD96-424E-BC9D-11A37EBECB12}">
      <formula1>"Confirmed, Suspected, Recovered"</formula1>
    </dataValidation>
    <dataValidation type="list" allowBlank="1" showInputMessage="1" showErrorMessage="1" sqref="C3:C196" xr:uid="{16709A15-D721-455C-8C13-012EB7CBFDEA}">
      <formula1>Employee</formula1>
    </dataValidation>
  </dataValidations>
  <pageMargins left="0.7" right="0.7" top="0.75" bottom="0.75" header="0.3" footer="0.3"/>
  <pageSetup paperSize="9"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64AB93D2-7D74-4DE8-8540-FB447A9936E6}">
            <x14:dataBar minLength="0" maxLength="100" gradient="0">
              <x14:cfvo type="num">
                <xm:f>0</xm:f>
              </x14:cfvo>
              <x14:cfvo type="num">
                <xm:f>1</xm:f>
              </x14:cfvo>
              <x14:negativeFillColor rgb="FFFF0000"/>
              <x14:axisColor rgb="FF000000"/>
            </x14:dataBar>
          </x14:cfRule>
          <xm:sqref>Q3:R43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89B41-2E54-4D21-969A-48F7E54BD0EC}">
  <sheetPr codeName="Sheet4">
    <tabColor rgb="FF8FCFAD"/>
  </sheetPr>
  <dimension ref="A1:Z110"/>
  <sheetViews>
    <sheetView showGridLines="0" showRowColHeaders="0" zoomScale="80" zoomScaleNormal="80" workbookViewId="0">
      <pane ySplit="4" topLeftCell="A5" activePane="bottomLeft" state="frozen"/>
      <selection pane="bottomLeft" activeCell="F5" sqref="F5"/>
    </sheetView>
  </sheetViews>
  <sheetFormatPr defaultColWidth="0" defaultRowHeight="12.75" x14ac:dyDescent="0.2"/>
  <cols>
    <col min="1" max="1" width="0.7109375" style="17" customWidth="1"/>
    <col min="2" max="3" width="22.7109375" style="23" customWidth="1"/>
    <col min="4" max="5" width="13.7109375" style="23" customWidth="1"/>
    <col min="6" max="6" width="23.85546875" style="23" customWidth="1"/>
    <col min="7" max="7" width="1" style="17" customWidth="1"/>
    <col min="8" max="8" width="17.7109375" customWidth="1"/>
    <col min="9" max="9" width="1" style="17" customWidth="1"/>
    <col min="10" max="10" width="23.85546875" customWidth="1"/>
    <col min="11" max="11" width="1" style="17" customWidth="1"/>
    <col min="12" max="12" width="19.85546875" customWidth="1"/>
    <col min="13" max="13" width="13.7109375" style="34" customWidth="1"/>
    <col min="14" max="14" width="13.7109375" style="33" customWidth="1"/>
    <col min="15" max="15" width="1" style="17" customWidth="1"/>
    <col min="16" max="16" width="21.42578125" style="36" customWidth="1"/>
    <col min="17" max="17" width="0.5703125" customWidth="1"/>
    <col min="18" max="26" width="0" hidden="1" customWidth="1"/>
    <col min="27" max="16384" width="9.140625" hidden="1"/>
  </cols>
  <sheetData>
    <row r="1" spans="1:16" s="42" customFormat="1" x14ac:dyDescent="0.2">
      <c r="B1" s="43"/>
      <c r="C1" s="43"/>
      <c r="D1" s="43"/>
      <c r="E1" s="43"/>
      <c r="F1" s="43"/>
      <c r="M1" s="44"/>
      <c r="N1" s="45"/>
      <c r="P1" s="46"/>
    </row>
    <row r="2" spans="1:16" x14ac:dyDescent="0.2">
      <c r="A2" s="18" t="s">
        <v>45</v>
      </c>
      <c r="B2"/>
      <c r="C2"/>
      <c r="D2"/>
      <c r="E2"/>
      <c r="F2"/>
      <c r="G2" s="18" t="s">
        <v>46</v>
      </c>
      <c r="I2" s="18" t="s">
        <v>49</v>
      </c>
      <c r="K2" s="18" t="s">
        <v>57</v>
      </c>
      <c r="M2"/>
      <c r="N2"/>
      <c r="O2" s="18" t="s">
        <v>348</v>
      </c>
      <c r="P2"/>
    </row>
    <row r="3" spans="1:16" x14ac:dyDescent="0.2">
      <c r="B3"/>
      <c r="C3"/>
      <c r="D3"/>
      <c r="E3"/>
      <c r="F3"/>
      <c r="M3"/>
      <c r="N3"/>
      <c r="P3"/>
    </row>
    <row r="4" spans="1:16" x14ac:dyDescent="0.2">
      <c r="B4" s="28" t="s">
        <v>27</v>
      </c>
      <c r="C4" s="28" t="s">
        <v>42</v>
      </c>
      <c r="D4" s="29" t="s">
        <v>43</v>
      </c>
      <c r="E4" s="30" t="s">
        <v>44</v>
      </c>
      <c r="F4" s="30" t="s">
        <v>18</v>
      </c>
      <c r="H4" s="16" t="s">
        <v>44</v>
      </c>
      <c r="J4" s="21" t="s">
        <v>18</v>
      </c>
      <c r="L4" s="16" t="s">
        <v>50</v>
      </c>
      <c r="M4" s="16" t="s">
        <v>54</v>
      </c>
      <c r="N4" s="21" t="s">
        <v>55</v>
      </c>
      <c r="P4" s="21" t="s">
        <v>58</v>
      </c>
    </row>
    <row r="5" spans="1:16" x14ac:dyDescent="0.2">
      <c r="B5" s="23" t="s">
        <v>28</v>
      </c>
      <c r="C5" s="23" t="s">
        <v>81</v>
      </c>
      <c r="D5" s="23">
        <v>32</v>
      </c>
      <c r="E5" s="23" t="s">
        <v>47</v>
      </c>
      <c r="F5" s="23" t="s">
        <v>23</v>
      </c>
      <c r="H5" t="s">
        <v>47</v>
      </c>
      <c r="J5" t="s">
        <v>23</v>
      </c>
      <c r="L5" t="s">
        <v>51</v>
      </c>
      <c r="M5" s="54"/>
      <c r="N5" s="32">
        <v>37</v>
      </c>
      <c r="P5" s="35" t="s">
        <v>282</v>
      </c>
    </row>
    <row r="6" spans="1:16" x14ac:dyDescent="0.2">
      <c r="B6" s="23" t="s">
        <v>29</v>
      </c>
      <c r="C6" s="23" t="s">
        <v>174</v>
      </c>
      <c r="D6" s="23">
        <v>36</v>
      </c>
      <c r="E6" s="23" t="s">
        <v>47</v>
      </c>
      <c r="F6" s="23" t="s">
        <v>16</v>
      </c>
      <c r="H6" t="s">
        <v>48</v>
      </c>
      <c r="J6" t="s">
        <v>16</v>
      </c>
      <c r="L6" t="s">
        <v>52</v>
      </c>
      <c r="M6" s="31">
        <v>37</v>
      </c>
      <c r="N6" s="32">
        <v>38</v>
      </c>
      <c r="P6" s="35" t="s">
        <v>59</v>
      </c>
    </row>
    <row r="7" spans="1:16" x14ac:dyDescent="0.2">
      <c r="B7" s="23" t="s">
        <v>30</v>
      </c>
      <c r="C7" s="23" t="s">
        <v>175</v>
      </c>
      <c r="D7" s="23">
        <v>28</v>
      </c>
      <c r="E7" s="23" t="s">
        <v>47</v>
      </c>
      <c r="F7" s="23" t="s">
        <v>24</v>
      </c>
      <c r="J7" t="s">
        <v>74</v>
      </c>
      <c r="L7" t="s">
        <v>53</v>
      </c>
      <c r="M7" s="31">
        <v>38</v>
      </c>
      <c r="N7" s="32">
        <v>39</v>
      </c>
      <c r="P7" s="35" t="s">
        <v>60</v>
      </c>
    </row>
    <row r="8" spans="1:16" x14ac:dyDescent="0.2">
      <c r="B8" s="23" t="s">
        <v>31</v>
      </c>
      <c r="C8" s="23" t="s">
        <v>176</v>
      </c>
      <c r="D8" s="23">
        <v>32</v>
      </c>
      <c r="E8" s="23" t="s">
        <v>48</v>
      </c>
      <c r="F8" s="23" t="s">
        <v>24</v>
      </c>
      <c r="J8" t="s">
        <v>75</v>
      </c>
      <c r="L8" t="s">
        <v>56</v>
      </c>
      <c r="M8" s="31">
        <v>39</v>
      </c>
      <c r="N8" s="53"/>
      <c r="P8" s="36" t="s">
        <v>61</v>
      </c>
    </row>
    <row r="9" spans="1:16" x14ac:dyDescent="0.2">
      <c r="B9" s="23" t="s">
        <v>32</v>
      </c>
      <c r="C9" s="23" t="s">
        <v>177</v>
      </c>
      <c r="D9" s="23">
        <v>36</v>
      </c>
      <c r="E9" s="23" t="s">
        <v>47</v>
      </c>
      <c r="F9" s="23" t="s">
        <v>17</v>
      </c>
      <c r="J9" t="s">
        <v>76</v>
      </c>
      <c r="M9" s="31"/>
      <c r="P9" s="36" t="s">
        <v>283</v>
      </c>
    </row>
    <row r="10" spans="1:16" x14ac:dyDescent="0.2">
      <c r="B10" s="23" t="s">
        <v>33</v>
      </c>
      <c r="C10" s="23" t="s">
        <v>178</v>
      </c>
      <c r="D10" s="23">
        <v>35</v>
      </c>
      <c r="E10" s="23" t="s">
        <v>47</v>
      </c>
      <c r="F10" s="23" t="s">
        <v>78</v>
      </c>
      <c r="J10" t="s">
        <v>17</v>
      </c>
      <c r="M10" s="31"/>
      <c r="P10" s="36" t="s">
        <v>284</v>
      </c>
    </row>
    <row r="11" spans="1:16" x14ac:dyDescent="0.2">
      <c r="B11" s="23" t="s">
        <v>34</v>
      </c>
      <c r="C11" s="23" t="s">
        <v>179</v>
      </c>
      <c r="D11" s="23">
        <v>31</v>
      </c>
      <c r="E11" s="23" t="s">
        <v>47</v>
      </c>
      <c r="F11" s="23" t="s">
        <v>77</v>
      </c>
      <c r="J11" t="s">
        <v>77</v>
      </c>
      <c r="M11" s="31"/>
    </row>
    <row r="12" spans="1:16" x14ac:dyDescent="0.2">
      <c r="B12" s="23" t="s">
        <v>35</v>
      </c>
      <c r="C12" s="23" t="s">
        <v>180</v>
      </c>
      <c r="D12" s="23">
        <v>30</v>
      </c>
      <c r="E12" s="23" t="s">
        <v>47</v>
      </c>
      <c r="F12" s="23" t="s">
        <v>74</v>
      </c>
      <c r="J12" t="s">
        <v>78</v>
      </c>
      <c r="M12" s="31"/>
    </row>
    <row r="13" spans="1:16" x14ac:dyDescent="0.2">
      <c r="B13" s="23" t="s">
        <v>36</v>
      </c>
      <c r="C13" s="23" t="s">
        <v>181</v>
      </c>
      <c r="D13" s="23">
        <v>36</v>
      </c>
      <c r="E13" s="23" t="s">
        <v>47</v>
      </c>
      <c r="F13" s="23" t="s">
        <v>17</v>
      </c>
      <c r="M13" s="31"/>
    </row>
    <row r="14" spans="1:16" x14ac:dyDescent="0.2">
      <c r="B14" s="23" t="s">
        <v>37</v>
      </c>
      <c r="C14" s="23" t="s">
        <v>182</v>
      </c>
      <c r="D14" s="23">
        <v>38</v>
      </c>
      <c r="E14" s="23" t="s">
        <v>47</v>
      </c>
      <c r="F14" s="23" t="s">
        <v>23</v>
      </c>
      <c r="M14" s="31"/>
    </row>
    <row r="15" spans="1:16" x14ac:dyDescent="0.2">
      <c r="B15" s="23" t="s">
        <v>38</v>
      </c>
      <c r="C15" s="23" t="s">
        <v>183</v>
      </c>
      <c r="D15" s="23">
        <v>35</v>
      </c>
      <c r="E15" s="23" t="s">
        <v>48</v>
      </c>
      <c r="F15" s="23" t="s">
        <v>16</v>
      </c>
      <c r="M15" s="31"/>
    </row>
    <row r="16" spans="1:16" x14ac:dyDescent="0.2">
      <c r="B16" s="23" t="s">
        <v>39</v>
      </c>
      <c r="C16" s="23" t="s">
        <v>184</v>
      </c>
      <c r="D16" s="23">
        <v>28</v>
      </c>
      <c r="E16" s="23" t="s">
        <v>47</v>
      </c>
      <c r="F16" s="23" t="s">
        <v>75</v>
      </c>
      <c r="M16" s="31"/>
    </row>
    <row r="17" spans="2:6" x14ac:dyDescent="0.2">
      <c r="B17" s="23" t="s">
        <v>40</v>
      </c>
      <c r="C17" s="23" t="s">
        <v>185</v>
      </c>
      <c r="D17" s="23">
        <v>33</v>
      </c>
      <c r="E17" s="23" t="s">
        <v>47</v>
      </c>
      <c r="F17" s="23" t="s">
        <v>76</v>
      </c>
    </row>
    <row r="18" spans="2:6" x14ac:dyDescent="0.2">
      <c r="B18" s="23" t="s">
        <v>41</v>
      </c>
      <c r="C18" s="23" t="s">
        <v>186</v>
      </c>
      <c r="D18" s="23">
        <v>28</v>
      </c>
      <c r="E18" s="23" t="s">
        <v>47</v>
      </c>
      <c r="F18" s="23" t="s">
        <v>77</v>
      </c>
    </row>
    <row r="19" spans="2:6" x14ac:dyDescent="0.2">
      <c r="B19" s="23" t="s">
        <v>82</v>
      </c>
      <c r="C19" s="23" t="s">
        <v>187</v>
      </c>
      <c r="D19" s="23">
        <v>36</v>
      </c>
      <c r="E19" s="23" t="s">
        <v>47</v>
      </c>
      <c r="F19" s="23" t="s">
        <v>17</v>
      </c>
    </row>
    <row r="20" spans="2:6" x14ac:dyDescent="0.2">
      <c r="B20" s="23" t="s">
        <v>83</v>
      </c>
      <c r="C20" s="23" t="s">
        <v>188</v>
      </c>
      <c r="D20" s="23">
        <v>32</v>
      </c>
      <c r="E20" s="23" t="s">
        <v>47</v>
      </c>
      <c r="F20" s="23" t="s">
        <v>23</v>
      </c>
    </row>
    <row r="21" spans="2:6" x14ac:dyDescent="0.2">
      <c r="B21" s="23" t="s">
        <v>84</v>
      </c>
      <c r="C21" s="23" t="s">
        <v>189</v>
      </c>
      <c r="D21" s="23">
        <v>27</v>
      </c>
      <c r="E21" s="23" t="s">
        <v>48</v>
      </c>
      <c r="F21" s="23" t="s">
        <v>23</v>
      </c>
    </row>
    <row r="22" spans="2:6" x14ac:dyDescent="0.2">
      <c r="B22" s="23" t="s">
        <v>85</v>
      </c>
      <c r="C22" s="23" t="s">
        <v>190</v>
      </c>
      <c r="D22" s="23">
        <v>29</v>
      </c>
      <c r="E22" s="23" t="s">
        <v>47</v>
      </c>
      <c r="F22" s="23" t="s">
        <v>78</v>
      </c>
    </row>
    <row r="23" spans="2:6" x14ac:dyDescent="0.2">
      <c r="B23" s="23" t="s">
        <v>86</v>
      </c>
      <c r="C23" s="23" t="s">
        <v>191</v>
      </c>
      <c r="D23" s="23">
        <v>28</v>
      </c>
      <c r="E23" s="23" t="s">
        <v>47</v>
      </c>
      <c r="F23" s="23" t="s">
        <v>16</v>
      </c>
    </row>
    <row r="24" spans="2:6" x14ac:dyDescent="0.2">
      <c r="B24" s="23" t="s">
        <v>87</v>
      </c>
      <c r="C24" s="23" t="s">
        <v>192</v>
      </c>
      <c r="D24" s="23">
        <v>37</v>
      </c>
      <c r="E24" s="23" t="s">
        <v>47</v>
      </c>
      <c r="F24" s="23" t="s">
        <v>78</v>
      </c>
    </row>
    <row r="25" spans="2:6" x14ac:dyDescent="0.2">
      <c r="B25" s="23" t="s">
        <v>88</v>
      </c>
      <c r="C25" s="23" t="s">
        <v>193</v>
      </c>
      <c r="D25" s="23">
        <v>28</v>
      </c>
      <c r="E25" s="23" t="s">
        <v>48</v>
      </c>
      <c r="F25" s="23" t="s">
        <v>77</v>
      </c>
    </row>
    <row r="26" spans="2:6" x14ac:dyDescent="0.2">
      <c r="B26" s="23" t="s">
        <v>89</v>
      </c>
      <c r="C26" s="23" t="s">
        <v>194</v>
      </c>
      <c r="D26" s="23">
        <v>34</v>
      </c>
      <c r="E26" s="23" t="s">
        <v>47</v>
      </c>
      <c r="F26" s="23" t="s">
        <v>23</v>
      </c>
    </row>
    <row r="27" spans="2:6" x14ac:dyDescent="0.2">
      <c r="B27" s="23" t="s">
        <v>90</v>
      </c>
      <c r="C27" s="23" t="s">
        <v>195</v>
      </c>
      <c r="D27" s="23">
        <v>32</v>
      </c>
      <c r="E27" s="23" t="s">
        <v>48</v>
      </c>
      <c r="F27" s="23" t="s">
        <v>75</v>
      </c>
    </row>
    <row r="28" spans="2:6" x14ac:dyDescent="0.2">
      <c r="B28" s="23" t="s">
        <v>91</v>
      </c>
      <c r="C28" s="23" t="s">
        <v>196</v>
      </c>
      <c r="D28" s="23">
        <v>30</v>
      </c>
      <c r="E28" s="23" t="s">
        <v>47</v>
      </c>
      <c r="F28" s="23" t="s">
        <v>76</v>
      </c>
    </row>
    <row r="29" spans="2:6" x14ac:dyDescent="0.2">
      <c r="B29" s="23" t="s">
        <v>92</v>
      </c>
      <c r="C29" s="23" t="s">
        <v>197</v>
      </c>
      <c r="D29" s="23">
        <v>29</v>
      </c>
      <c r="E29" s="23" t="s">
        <v>47</v>
      </c>
      <c r="F29" s="23" t="s">
        <v>76</v>
      </c>
    </row>
    <row r="30" spans="2:6" x14ac:dyDescent="0.2">
      <c r="B30" s="23" t="s">
        <v>93</v>
      </c>
      <c r="C30" s="23" t="s">
        <v>198</v>
      </c>
      <c r="D30" s="23">
        <v>35</v>
      </c>
      <c r="E30" s="23" t="s">
        <v>48</v>
      </c>
      <c r="F30" s="23" t="s">
        <v>74</v>
      </c>
    </row>
    <row r="31" spans="2:6" x14ac:dyDescent="0.2">
      <c r="B31" s="23" t="s">
        <v>94</v>
      </c>
      <c r="C31" s="23" t="s">
        <v>199</v>
      </c>
      <c r="D31" s="23">
        <v>37</v>
      </c>
      <c r="E31" s="23" t="s">
        <v>48</v>
      </c>
      <c r="F31" s="23" t="s">
        <v>75</v>
      </c>
    </row>
    <row r="32" spans="2:6" x14ac:dyDescent="0.2">
      <c r="B32" s="23" t="s">
        <v>95</v>
      </c>
      <c r="C32" s="23" t="s">
        <v>200</v>
      </c>
      <c r="D32" s="23">
        <v>30</v>
      </c>
      <c r="E32" s="23" t="s">
        <v>47</v>
      </c>
      <c r="F32" s="23" t="s">
        <v>16</v>
      </c>
    </row>
    <row r="33" spans="2:6" x14ac:dyDescent="0.2">
      <c r="B33" s="23" t="s">
        <v>96</v>
      </c>
      <c r="C33" s="23" t="s">
        <v>201</v>
      </c>
      <c r="D33" s="23">
        <v>37</v>
      </c>
      <c r="E33" s="23" t="s">
        <v>47</v>
      </c>
      <c r="F33" s="23" t="s">
        <v>75</v>
      </c>
    </row>
    <row r="34" spans="2:6" x14ac:dyDescent="0.2">
      <c r="B34" s="23" t="s">
        <v>97</v>
      </c>
      <c r="C34" s="23" t="s">
        <v>202</v>
      </c>
      <c r="D34" s="23">
        <v>38</v>
      </c>
      <c r="E34" s="23" t="s">
        <v>47</v>
      </c>
      <c r="F34" s="23" t="s">
        <v>23</v>
      </c>
    </row>
    <row r="35" spans="2:6" x14ac:dyDescent="0.2">
      <c r="B35" s="23" t="s">
        <v>98</v>
      </c>
      <c r="C35" s="23" t="s">
        <v>203</v>
      </c>
      <c r="D35" s="23">
        <v>31</v>
      </c>
      <c r="E35" s="23" t="s">
        <v>48</v>
      </c>
      <c r="F35" s="23" t="s">
        <v>78</v>
      </c>
    </row>
    <row r="36" spans="2:6" x14ac:dyDescent="0.2">
      <c r="B36" s="23" t="s">
        <v>99</v>
      </c>
      <c r="C36" s="23" t="s">
        <v>204</v>
      </c>
      <c r="D36" s="23">
        <v>34</v>
      </c>
      <c r="E36" s="23" t="s">
        <v>48</v>
      </c>
      <c r="F36" s="23" t="s">
        <v>16</v>
      </c>
    </row>
    <row r="37" spans="2:6" x14ac:dyDescent="0.2">
      <c r="B37" s="23" t="s">
        <v>100</v>
      </c>
      <c r="C37" s="23" t="s">
        <v>205</v>
      </c>
      <c r="D37" s="23">
        <v>31</v>
      </c>
      <c r="E37" s="23" t="s">
        <v>48</v>
      </c>
      <c r="F37" s="23" t="s">
        <v>77</v>
      </c>
    </row>
    <row r="38" spans="2:6" x14ac:dyDescent="0.2">
      <c r="B38" s="23" t="s">
        <v>101</v>
      </c>
      <c r="C38" s="23" t="s">
        <v>206</v>
      </c>
      <c r="D38" s="23">
        <v>38</v>
      </c>
      <c r="E38" s="23" t="s">
        <v>47</v>
      </c>
      <c r="F38" s="23" t="s">
        <v>75</v>
      </c>
    </row>
    <row r="39" spans="2:6" x14ac:dyDescent="0.2">
      <c r="B39" s="23" t="s">
        <v>102</v>
      </c>
      <c r="C39" s="23" t="s">
        <v>207</v>
      </c>
      <c r="D39" s="23">
        <v>33</v>
      </c>
      <c r="E39" s="23" t="s">
        <v>48</v>
      </c>
      <c r="F39" s="23" t="s">
        <v>16</v>
      </c>
    </row>
    <row r="40" spans="2:6" x14ac:dyDescent="0.2">
      <c r="B40" s="23" t="s">
        <v>103</v>
      </c>
      <c r="C40" s="23" t="s">
        <v>208</v>
      </c>
      <c r="D40" s="23">
        <v>38</v>
      </c>
      <c r="E40" s="23" t="s">
        <v>48</v>
      </c>
      <c r="F40" s="23" t="s">
        <v>16</v>
      </c>
    </row>
    <row r="41" spans="2:6" x14ac:dyDescent="0.2">
      <c r="B41" s="23" t="s">
        <v>104</v>
      </c>
      <c r="C41" s="23" t="s">
        <v>209</v>
      </c>
      <c r="D41" s="23">
        <v>29</v>
      </c>
      <c r="E41" s="23" t="s">
        <v>48</v>
      </c>
      <c r="F41" s="23" t="s">
        <v>16</v>
      </c>
    </row>
    <row r="42" spans="2:6" x14ac:dyDescent="0.2">
      <c r="B42" s="23" t="s">
        <v>105</v>
      </c>
      <c r="C42" s="23" t="s">
        <v>210</v>
      </c>
      <c r="D42" s="23">
        <v>32</v>
      </c>
      <c r="E42" s="23" t="s">
        <v>47</v>
      </c>
      <c r="F42" s="23" t="s">
        <v>16</v>
      </c>
    </row>
    <row r="43" spans="2:6" x14ac:dyDescent="0.2">
      <c r="B43" s="23" t="s">
        <v>106</v>
      </c>
      <c r="C43" s="23" t="s">
        <v>211</v>
      </c>
      <c r="D43" s="23">
        <v>29</v>
      </c>
      <c r="E43" s="23" t="s">
        <v>48</v>
      </c>
      <c r="F43" s="23" t="s">
        <v>75</v>
      </c>
    </row>
    <row r="44" spans="2:6" x14ac:dyDescent="0.2">
      <c r="B44" s="23" t="s">
        <v>107</v>
      </c>
      <c r="C44" s="23" t="s">
        <v>212</v>
      </c>
      <c r="D44" s="23">
        <v>30</v>
      </c>
      <c r="E44" s="23" t="s">
        <v>47</v>
      </c>
      <c r="F44" s="23" t="s">
        <v>23</v>
      </c>
    </row>
    <row r="45" spans="2:6" x14ac:dyDescent="0.2">
      <c r="B45" s="23" t="s">
        <v>108</v>
      </c>
      <c r="C45" s="23" t="s">
        <v>213</v>
      </c>
      <c r="D45" s="23">
        <v>29</v>
      </c>
      <c r="E45" s="23" t="s">
        <v>47</v>
      </c>
      <c r="F45" s="23" t="s">
        <v>77</v>
      </c>
    </row>
    <row r="46" spans="2:6" x14ac:dyDescent="0.2">
      <c r="B46" s="23" t="s">
        <v>109</v>
      </c>
      <c r="C46" s="23" t="s">
        <v>214</v>
      </c>
      <c r="D46" s="23">
        <v>25</v>
      </c>
      <c r="E46" s="23" t="s">
        <v>47</v>
      </c>
      <c r="F46" s="23" t="s">
        <v>78</v>
      </c>
    </row>
    <row r="47" spans="2:6" x14ac:dyDescent="0.2">
      <c r="B47" s="23" t="s">
        <v>110</v>
      </c>
      <c r="C47" s="23" t="s">
        <v>215</v>
      </c>
      <c r="D47" s="23">
        <v>27</v>
      </c>
      <c r="E47" s="23" t="s">
        <v>48</v>
      </c>
      <c r="F47" s="23" t="s">
        <v>23</v>
      </c>
    </row>
    <row r="48" spans="2:6" x14ac:dyDescent="0.2">
      <c r="B48" s="23" t="s">
        <v>111</v>
      </c>
      <c r="C48" s="23" t="s">
        <v>216</v>
      </c>
      <c r="D48" s="23">
        <v>26</v>
      </c>
      <c r="E48" s="23" t="s">
        <v>47</v>
      </c>
      <c r="F48" s="23" t="s">
        <v>75</v>
      </c>
    </row>
    <row r="49" spans="2:6" x14ac:dyDescent="0.2">
      <c r="B49" s="23" t="s">
        <v>112</v>
      </c>
      <c r="C49" s="23" t="s">
        <v>217</v>
      </c>
      <c r="D49" s="23">
        <v>27</v>
      </c>
      <c r="E49" s="23" t="s">
        <v>48</v>
      </c>
      <c r="F49" s="23" t="s">
        <v>75</v>
      </c>
    </row>
    <row r="50" spans="2:6" x14ac:dyDescent="0.2">
      <c r="B50" s="23" t="s">
        <v>113</v>
      </c>
      <c r="C50" s="23" t="s">
        <v>218</v>
      </c>
      <c r="D50" s="23">
        <v>38</v>
      </c>
      <c r="E50" s="23" t="s">
        <v>47</v>
      </c>
      <c r="F50" s="23" t="s">
        <v>23</v>
      </c>
    </row>
    <row r="51" spans="2:6" x14ac:dyDescent="0.2">
      <c r="B51" s="23" t="s">
        <v>114</v>
      </c>
      <c r="C51" s="23" t="s">
        <v>219</v>
      </c>
      <c r="D51" s="23">
        <v>34</v>
      </c>
      <c r="E51" s="23" t="s">
        <v>48</v>
      </c>
      <c r="F51" s="23" t="s">
        <v>77</v>
      </c>
    </row>
    <row r="52" spans="2:6" x14ac:dyDescent="0.2">
      <c r="B52" s="23" t="s">
        <v>115</v>
      </c>
      <c r="C52" s="23" t="s">
        <v>220</v>
      </c>
      <c r="D52" s="23">
        <v>26</v>
      </c>
      <c r="E52" s="23" t="s">
        <v>48</v>
      </c>
      <c r="F52" s="23" t="s">
        <v>75</v>
      </c>
    </row>
    <row r="53" spans="2:6" x14ac:dyDescent="0.2">
      <c r="B53" s="23" t="s">
        <v>116</v>
      </c>
      <c r="C53" s="23" t="s">
        <v>221</v>
      </c>
      <c r="D53" s="23">
        <v>28</v>
      </c>
      <c r="E53" s="23" t="s">
        <v>47</v>
      </c>
      <c r="F53" s="23" t="s">
        <v>74</v>
      </c>
    </row>
    <row r="54" spans="2:6" x14ac:dyDescent="0.2">
      <c r="B54" s="23" t="s">
        <v>117</v>
      </c>
      <c r="C54" s="23" t="s">
        <v>222</v>
      </c>
      <c r="D54" s="23">
        <v>29</v>
      </c>
      <c r="E54" s="23" t="s">
        <v>47</v>
      </c>
      <c r="F54" s="23" t="s">
        <v>77</v>
      </c>
    </row>
    <row r="55" spans="2:6" x14ac:dyDescent="0.2">
      <c r="B55" s="23" t="s">
        <v>118</v>
      </c>
      <c r="C55" s="23" t="s">
        <v>223</v>
      </c>
      <c r="D55" s="23">
        <v>32</v>
      </c>
      <c r="E55" s="23" t="s">
        <v>48</v>
      </c>
      <c r="F55" s="23" t="s">
        <v>78</v>
      </c>
    </row>
    <row r="56" spans="2:6" x14ac:dyDescent="0.2">
      <c r="B56" s="23" t="s">
        <v>119</v>
      </c>
      <c r="C56" s="23" t="s">
        <v>224</v>
      </c>
      <c r="D56" s="23">
        <v>26</v>
      </c>
      <c r="E56" s="23" t="s">
        <v>48</v>
      </c>
      <c r="F56" s="23" t="s">
        <v>78</v>
      </c>
    </row>
    <row r="57" spans="2:6" x14ac:dyDescent="0.2">
      <c r="B57" s="23" t="s">
        <v>120</v>
      </c>
      <c r="C57" s="23" t="s">
        <v>225</v>
      </c>
      <c r="D57" s="23">
        <v>34</v>
      </c>
      <c r="E57" s="23" t="s">
        <v>48</v>
      </c>
      <c r="F57" s="23" t="s">
        <v>16</v>
      </c>
    </row>
    <row r="58" spans="2:6" x14ac:dyDescent="0.2">
      <c r="B58" s="23" t="s">
        <v>121</v>
      </c>
      <c r="C58" s="23" t="s">
        <v>226</v>
      </c>
      <c r="D58" s="23">
        <v>35</v>
      </c>
      <c r="E58" s="23" t="s">
        <v>47</v>
      </c>
      <c r="F58" s="23" t="s">
        <v>74</v>
      </c>
    </row>
    <row r="59" spans="2:6" x14ac:dyDescent="0.2">
      <c r="B59" s="23" t="s">
        <v>122</v>
      </c>
      <c r="C59" s="23" t="s">
        <v>227</v>
      </c>
      <c r="D59" s="23">
        <v>36</v>
      </c>
      <c r="E59" s="23" t="s">
        <v>48</v>
      </c>
      <c r="F59" s="23" t="s">
        <v>77</v>
      </c>
    </row>
    <row r="60" spans="2:6" x14ac:dyDescent="0.2">
      <c r="B60" s="23" t="s">
        <v>123</v>
      </c>
      <c r="C60" s="23" t="s">
        <v>228</v>
      </c>
      <c r="D60" s="23">
        <v>36</v>
      </c>
      <c r="E60" s="23" t="s">
        <v>47</v>
      </c>
      <c r="F60" s="23" t="s">
        <v>16</v>
      </c>
    </row>
    <row r="61" spans="2:6" x14ac:dyDescent="0.2">
      <c r="B61" s="23" t="s">
        <v>124</v>
      </c>
      <c r="C61" s="23" t="s">
        <v>229</v>
      </c>
      <c r="D61" s="23">
        <v>37</v>
      </c>
      <c r="E61" s="23" t="s">
        <v>47</v>
      </c>
      <c r="F61" s="23" t="s">
        <v>78</v>
      </c>
    </row>
    <row r="62" spans="2:6" x14ac:dyDescent="0.2">
      <c r="B62" s="23" t="s">
        <v>125</v>
      </c>
      <c r="C62" s="23" t="s">
        <v>230</v>
      </c>
      <c r="D62" s="23">
        <v>27</v>
      </c>
      <c r="E62" s="23" t="s">
        <v>48</v>
      </c>
      <c r="F62" s="23" t="s">
        <v>23</v>
      </c>
    </row>
    <row r="63" spans="2:6" x14ac:dyDescent="0.2">
      <c r="B63" s="23" t="s">
        <v>126</v>
      </c>
      <c r="C63" s="23" t="s">
        <v>231</v>
      </c>
      <c r="D63" s="23">
        <v>34</v>
      </c>
      <c r="E63" s="23" t="s">
        <v>47</v>
      </c>
      <c r="F63" s="23" t="s">
        <v>77</v>
      </c>
    </row>
    <row r="64" spans="2:6" x14ac:dyDescent="0.2">
      <c r="B64" s="23" t="s">
        <v>127</v>
      </c>
      <c r="C64" s="23" t="s">
        <v>232</v>
      </c>
      <c r="D64" s="23">
        <v>38</v>
      </c>
      <c r="E64" s="23" t="s">
        <v>48</v>
      </c>
      <c r="F64" s="23" t="s">
        <v>75</v>
      </c>
    </row>
    <row r="65" spans="2:6" x14ac:dyDescent="0.2">
      <c r="B65" s="23" t="s">
        <v>128</v>
      </c>
      <c r="C65" s="23" t="s">
        <v>233</v>
      </c>
      <c r="D65" s="23">
        <v>27</v>
      </c>
      <c r="E65" s="23" t="s">
        <v>47</v>
      </c>
      <c r="F65" s="23" t="s">
        <v>75</v>
      </c>
    </row>
    <row r="66" spans="2:6" x14ac:dyDescent="0.2">
      <c r="B66" s="23" t="s">
        <v>129</v>
      </c>
      <c r="C66" s="23" t="s">
        <v>234</v>
      </c>
      <c r="D66" s="23">
        <v>29</v>
      </c>
      <c r="E66" s="23" t="s">
        <v>47</v>
      </c>
      <c r="F66" s="23" t="s">
        <v>17</v>
      </c>
    </row>
    <row r="67" spans="2:6" x14ac:dyDescent="0.2">
      <c r="B67" s="23" t="s">
        <v>130</v>
      </c>
      <c r="C67" s="23" t="s">
        <v>235</v>
      </c>
      <c r="D67" s="23">
        <v>32</v>
      </c>
      <c r="E67" s="23" t="s">
        <v>48</v>
      </c>
      <c r="F67" s="23" t="s">
        <v>74</v>
      </c>
    </row>
    <row r="68" spans="2:6" x14ac:dyDescent="0.2">
      <c r="B68" s="23" t="s">
        <v>131</v>
      </c>
      <c r="C68" s="23" t="s">
        <v>236</v>
      </c>
      <c r="D68" s="23">
        <v>29</v>
      </c>
      <c r="E68" s="23" t="s">
        <v>48</v>
      </c>
      <c r="F68" s="23" t="s">
        <v>75</v>
      </c>
    </row>
    <row r="69" spans="2:6" x14ac:dyDescent="0.2">
      <c r="B69" s="23" t="s">
        <v>132</v>
      </c>
      <c r="C69" s="23" t="s">
        <v>237</v>
      </c>
      <c r="D69" s="23">
        <v>34</v>
      </c>
      <c r="E69" s="23" t="s">
        <v>48</v>
      </c>
      <c r="F69" s="23" t="s">
        <v>75</v>
      </c>
    </row>
    <row r="70" spans="2:6" x14ac:dyDescent="0.2">
      <c r="B70" s="23" t="s">
        <v>133</v>
      </c>
      <c r="C70" s="23" t="s">
        <v>238</v>
      </c>
      <c r="D70" s="23">
        <v>35</v>
      </c>
      <c r="E70" s="23" t="s">
        <v>48</v>
      </c>
      <c r="F70" s="23" t="s">
        <v>74</v>
      </c>
    </row>
    <row r="71" spans="2:6" x14ac:dyDescent="0.2">
      <c r="B71" s="23" t="s">
        <v>134</v>
      </c>
      <c r="C71" s="23" t="s">
        <v>239</v>
      </c>
      <c r="D71" s="23">
        <v>25</v>
      </c>
      <c r="E71" s="23" t="s">
        <v>48</v>
      </c>
      <c r="F71" s="23" t="s">
        <v>17</v>
      </c>
    </row>
    <row r="72" spans="2:6" x14ac:dyDescent="0.2">
      <c r="B72" s="23" t="s">
        <v>135</v>
      </c>
      <c r="C72" s="23" t="s">
        <v>240</v>
      </c>
      <c r="D72" s="23">
        <v>26</v>
      </c>
      <c r="E72" s="23" t="s">
        <v>48</v>
      </c>
      <c r="F72" s="23" t="s">
        <v>75</v>
      </c>
    </row>
    <row r="73" spans="2:6" x14ac:dyDescent="0.2">
      <c r="B73" s="23" t="s">
        <v>136</v>
      </c>
      <c r="C73" s="23" t="s">
        <v>241</v>
      </c>
      <c r="D73" s="23">
        <v>38</v>
      </c>
      <c r="E73" s="23" t="s">
        <v>47</v>
      </c>
      <c r="F73" s="23" t="s">
        <v>74</v>
      </c>
    </row>
    <row r="74" spans="2:6" x14ac:dyDescent="0.2">
      <c r="B74" s="23" t="s">
        <v>137</v>
      </c>
      <c r="C74" s="23" t="s">
        <v>242</v>
      </c>
      <c r="D74" s="23">
        <v>29</v>
      </c>
      <c r="E74" s="23" t="s">
        <v>48</v>
      </c>
      <c r="F74" s="23" t="s">
        <v>75</v>
      </c>
    </row>
    <row r="75" spans="2:6" x14ac:dyDescent="0.2">
      <c r="B75" s="23" t="s">
        <v>138</v>
      </c>
      <c r="C75" s="23" t="s">
        <v>243</v>
      </c>
      <c r="D75" s="23">
        <v>30</v>
      </c>
      <c r="E75" s="23" t="s">
        <v>48</v>
      </c>
      <c r="F75" s="23" t="s">
        <v>78</v>
      </c>
    </row>
    <row r="76" spans="2:6" x14ac:dyDescent="0.2">
      <c r="B76" s="23" t="s">
        <v>139</v>
      </c>
      <c r="C76" s="23" t="s">
        <v>244</v>
      </c>
      <c r="D76" s="23">
        <v>32</v>
      </c>
      <c r="E76" s="23" t="s">
        <v>48</v>
      </c>
      <c r="F76" s="23" t="s">
        <v>74</v>
      </c>
    </row>
    <row r="77" spans="2:6" x14ac:dyDescent="0.2">
      <c r="B77" s="23" t="s">
        <v>140</v>
      </c>
      <c r="C77" s="23" t="s">
        <v>245</v>
      </c>
      <c r="D77" s="23">
        <v>28</v>
      </c>
      <c r="E77" s="23" t="s">
        <v>48</v>
      </c>
      <c r="F77" s="23" t="s">
        <v>23</v>
      </c>
    </row>
    <row r="78" spans="2:6" x14ac:dyDescent="0.2">
      <c r="B78" s="23" t="s">
        <v>141</v>
      </c>
      <c r="C78" s="23" t="s">
        <v>246</v>
      </c>
      <c r="D78" s="23">
        <v>29</v>
      </c>
      <c r="E78" s="23" t="s">
        <v>47</v>
      </c>
      <c r="F78" s="23" t="s">
        <v>76</v>
      </c>
    </row>
    <row r="79" spans="2:6" x14ac:dyDescent="0.2">
      <c r="B79" s="23" t="s">
        <v>142</v>
      </c>
      <c r="C79" s="23" t="s">
        <v>247</v>
      </c>
      <c r="D79" s="23">
        <v>32</v>
      </c>
      <c r="E79" s="23" t="s">
        <v>47</v>
      </c>
      <c r="F79" s="23" t="s">
        <v>76</v>
      </c>
    </row>
    <row r="80" spans="2:6" x14ac:dyDescent="0.2">
      <c r="B80" s="23" t="s">
        <v>143</v>
      </c>
      <c r="C80" s="23" t="s">
        <v>248</v>
      </c>
      <c r="D80" s="23">
        <v>33</v>
      </c>
      <c r="E80" s="23" t="s">
        <v>48</v>
      </c>
      <c r="F80" s="23" t="s">
        <v>17</v>
      </c>
    </row>
    <row r="81" spans="2:6" x14ac:dyDescent="0.2">
      <c r="B81" s="23" t="s">
        <v>144</v>
      </c>
      <c r="C81" s="23" t="s">
        <v>249</v>
      </c>
      <c r="D81" s="23">
        <v>38</v>
      </c>
      <c r="E81" s="23" t="s">
        <v>48</v>
      </c>
      <c r="F81" s="23" t="s">
        <v>17</v>
      </c>
    </row>
    <row r="82" spans="2:6" x14ac:dyDescent="0.2">
      <c r="B82" s="23" t="s">
        <v>145</v>
      </c>
      <c r="C82" s="23" t="s">
        <v>250</v>
      </c>
      <c r="D82" s="23">
        <v>38</v>
      </c>
      <c r="E82" s="23" t="s">
        <v>47</v>
      </c>
      <c r="F82" s="23" t="s">
        <v>23</v>
      </c>
    </row>
    <row r="83" spans="2:6" x14ac:dyDescent="0.2">
      <c r="B83" s="23" t="s">
        <v>146</v>
      </c>
      <c r="C83" s="23" t="s">
        <v>251</v>
      </c>
      <c r="D83" s="23">
        <v>37</v>
      </c>
      <c r="E83" s="23" t="s">
        <v>47</v>
      </c>
      <c r="F83" s="23" t="s">
        <v>74</v>
      </c>
    </row>
    <row r="84" spans="2:6" x14ac:dyDescent="0.2">
      <c r="B84" s="23" t="s">
        <v>147</v>
      </c>
      <c r="C84" s="23" t="s">
        <v>252</v>
      </c>
      <c r="D84" s="23">
        <v>32</v>
      </c>
      <c r="E84" s="23" t="s">
        <v>48</v>
      </c>
      <c r="F84" s="23" t="s">
        <v>17</v>
      </c>
    </row>
    <row r="85" spans="2:6" x14ac:dyDescent="0.2">
      <c r="B85" s="23" t="s">
        <v>148</v>
      </c>
      <c r="C85" s="23" t="s">
        <v>253</v>
      </c>
      <c r="D85" s="23">
        <v>34</v>
      </c>
      <c r="E85" s="23" t="s">
        <v>47</v>
      </c>
      <c r="F85" s="23" t="s">
        <v>74</v>
      </c>
    </row>
    <row r="86" spans="2:6" x14ac:dyDescent="0.2">
      <c r="B86" s="23" t="s">
        <v>149</v>
      </c>
      <c r="C86" s="23" t="s">
        <v>254</v>
      </c>
      <c r="D86" s="23">
        <v>33</v>
      </c>
      <c r="E86" s="23" t="s">
        <v>48</v>
      </c>
      <c r="F86" s="23" t="s">
        <v>77</v>
      </c>
    </row>
    <row r="87" spans="2:6" x14ac:dyDescent="0.2">
      <c r="B87" s="23" t="s">
        <v>150</v>
      </c>
      <c r="C87" s="23" t="s">
        <v>255</v>
      </c>
      <c r="D87" s="23">
        <v>27</v>
      </c>
      <c r="E87" s="23" t="s">
        <v>47</v>
      </c>
      <c r="F87" s="23" t="s">
        <v>23</v>
      </c>
    </row>
    <row r="88" spans="2:6" x14ac:dyDescent="0.2">
      <c r="B88" s="23" t="s">
        <v>151</v>
      </c>
      <c r="C88" s="23" t="s">
        <v>256</v>
      </c>
      <c r="D88" s="23">
        <v>35</v>
      </c>
      <c r="E88" s="23" t="s">
        <v>48</v>
      </c>
      <c r="F88" s="23" t="s">
        <v>76</v>
      </c>
    </row>
    <row r="89" spans="2:6" x14ac:dyDescent="0.2">
      <c r="B89" s="23" t="s">
        <v>152</v>
      </c>
      <c r="C89" s="23" t="s">
        <v>257</v>
      </c>
      <c r="D89" s="23">
        <v>37</v>
      </c>
      <c r="E89" s="23" t="s">
        <v>48</v>
      </c>
      <c r="F89" s="23" t="s">
        <v>75</v>
      </c>
    </row>
    <row r="90" spans="2:6" x14ac:dyDescent="0.2">
      <c r="B90" s="23" t="s">
        <v>153</v>
      </c>
      <c r="C90" s="23" t="s">
        <v>258</v>
      </c>
      <c r="D90" s="23">
        <v>34</v>
      </c>
      <c r="E90" s="23" t="s">
        <v>48</v>
      </c>
      <c r="F90" s="23" t="s">
        <v>16</v>
      </c>
    </row>
    <row r="91" spans="2:6" x14ac:dyDescent="0.2">
      <c r="B91" s="23" t="s">
        <v>154</v>
      </c>
      <c r="C91" s="23" t="s">
        <v>259</v>
      </c>
      <c r="D91" s="23">
        <v>34</v>
      </c>
      <c r="E91" s="23" t="s">
        <v>47</v>
      </c>
      <c r="F91" s="23" t="s">
        <v>77</v>
      </c>
    </row>
    <row r="92" spans="2:6" x14ac:dyDescent="0.2">
      <c r="B92" s="23" t="s">
        <v>155</v>
      </c>
      <c r="C92" s="23" t="s">
        <v>260</v>
      </c>
      <c r="D92" s="23">
        <v>26</v>
      </c>
      <c r="E92" s="23" t="s">
        <v>48</v>
      </c>
      <c r="F92" s="23" t="s">
        <v>17</v>
      </c>
    </row>
    <row r="93" spans="2:6" x14ac:dyDescent="0.2">
      <c r="B93" s="23" t="s">
        <v>156</v>
      </c>
      <c r="C93" s="23" t="s">
        <v>261</v>
      </c>
      <c r="D93" s="23">
        <v>29</v>
      </c>
      <c r="E93" s="23" t="s">
        <v>48</v>
      </c>
      <c r="F93" s="23" t="s">
        <v>77</v>
      </c>
    </row>
    <row r="94" spans="2:6" x14ac:dyDescent="0.2">
      <c r="B94" s="23" t="s">
        <v>157</v>
      </c>
      <c r="C94" s="23" t="s">
        <v>262</v>
      </c>
      <c r="D94" s="23">
        <v>25</v>
      </c>
      <c r="E94" s="23" t="s">
        <v>47</v>
      </c>
      <c r="F94" s="23" t="s">
        <v>77</v>
      </c>
    </row>
    <row r="95" spans="2:6" x14ac:dyDescent="0.2">
      <c r="B95" s="23" t="s">
        <v>158</v>
      </c>
      <c r="C95" s="23" t="s">
        <v>263</v>
      </c>
      <c r="D95" s="23">
        <v>34</v>
      </c>
      <c r="E95" s="23" t="s">
        <v>48</v>
      </c>
      <c r="F95" s="23" t="s">
        <v>78</v>
      </c>
    </row>
    <row r="96" spans="2:6" x14ac:dyDescent="0.2">
      <c r="B96" s="23" t="s">
        <v>159</v>
      </c>
      <c r="C96" s="23" t="s">
        <v>264</v>
      </c>
      <c r="D96" s="23">
        <v>35</v>
      </c>
      <c r="E96" s="23" t="s">
        <v>48</v>
      </c>
      <c r="F96" s="23" t="s">
        <v>78</v>
      </c>
    </row>
    <row r="97" spans="2:6" x14ac:dyDescent="0.2">
      <c r="B97" s="23" t="s">
        <v>160</v>
      </c>
      <c r="C97" s="23" t="s">
        <v>265</v>
      </c>
      <c r="D97" s="23">
        <v>38</v>
      </c>
      <c r="E97" s="23" t="s">
        <v>47</v>
      </c>
      <c r="F97" s="23" t="s">
        <v>78</v>
      </c>
    </row>
    <row r="98" spans="2:6" x14ac:dyDescent="0.2">
      <c r="B98" s="23" t="s">
        <v>161</v>
      </c>
      <c r="C98" s="23" t="s">
        <v>266</v>
      </c>
      <c r="D98" s="23">
        <v>32</v>
      </c>
      <c r="E98" s="23" t="s">
        <v>48</v>
      </c>
      <c r="F98" s="23" t="s">
        <v>78</v>
      </c>
    </row>
    <row r="99" spans="2:6" x14ac:dyDescent="0.2">
      <c r="B99" s="23" t="s">
        <v>162</v>
      </c>
      <c r="C99" s="23" t="s">
        <v>267</v>
      </c>
      <c r="D99" s="23">
        <v>38</v>
      </c>
      <c r="E99" s="23" t="s">
        <v>47</v>
      </c>
      <c r="F99" s="23" t="s">
        <v>74</v>
      </c>
    </row>
    <row r="100" spans="2:6" x14ac:dyDescent="0.2">
      <c r="B100" s="23" t="s">
        <v>163</v>
      </c>
      <c r="C100" s="23" t="s">
        <v>268</v>
      </c>
      <c r="D100" s="23">
        <v>31</v>
      </c>
      <c r="E100" s="23" t="s">
        <v>48</v>
      </c>
      <c r="F100" s="23" t="s">
        <v>78</v>
      </c>
    </row>
    <row r="101" spans="2:6" x14ac:dyDescent="0.2">
      <c r="B101" s="23" t="s">
        <v>164</v>
      </c>
      <c r="C101" s="23" t="s">
        <v>269</v>
      </c>
      <c r="D101" s="23">
        <v>38</v>
      </c>
      <c r="E101" s="23" t="s">
        <v>48</v>
      </c>
      <c r="F101" s="23" t="s">
        <v>75</v>
      </c>
    </row>
    <row r="102" spans="2:6" x14ac:dyDescent="0.2">
      <c r="B102" s="23" t="s">
        <v>165</v>
      </c>
      <c r="C102" s="23" t="s">
        <v>270</v>
      </c>
      <c r="D102" s="23">
        <v>29</v>
      </c>
      <c r="E102" s="23" t="s">
        <v>47</v>
      </c>
      <c r="F102" s="23" t="s">
        <v>17</v>
      </c>
    </row>
    <row r="103" spans="2:6" x14ac:dyDescent="0.2">
      <c r="B103" s="23" t="s">
        <v>166</v>
      </c>
      <c r="C103" s="23" t="s">
        <v>271</v>
      </c>
      <c r="D103" s="23">
        <v>25</v>
      </c>
      <c r="E103" s="23" t="s">
        <v>48</v>
      </c>
      <c r="F103" s="23" t="s">
        <v>76</v>
      </c>
    </row>
    <row r="104" spans="2:6" x14ac:dyDescent="0.2">
      <c r="B104" s="23" t="s">
        <v>167</v>
      </c>
      <c r="C104" s="23" t="s">
        <v>272</v>
      </c>
      <c r="D104" s="23">
        <v>29</v>
      </c>
      <c r="E104" s="23" t="s">
        <v>47</v>
      </c>
      <c r="F104" s="23" t="s">
        <v>77</v>
      </c>
    </row>
    <row r="105" spans="2:6" x14ac:dyDescent="0.2">
      <c r="B105" s="23" t="s">
        <v>168</v>
      </c>
      <c r="C105" s="23" t="s">
        <v>273</v>
      </c>
      <c r="D105" s="23">
        <v>36</v>
      </c>
      <c r="E105" s="23" t="s">
        <v>47</v>
      </c>
      <c r="F105" s="23" t="s">
        <v>16</v>
      </c>
    </row>
    <row r="106" spans="2:6" x14ac:dyDescent="0.2">
      <c r="B106" s="23" t="s">
        <v>169</v>
      </c>
      <c r="C106" s="23" t="s">
        <v>274</v>
      </c>
      <c r="D106" s="23">
        <v>26</v>
      </c>
      <c r="E106" s="23" t="s">
        <v>48</v>
      </c>
      <c r="F106" s="23" t="s">
        <v>75</v>
      </c>
    </row>
    <row r="107" spans="2:6" x14ac:dyDescent="0.2">
      <c r="B107" s="23" t="s">
        <v>170</v>
      </c>
      <c r="C107" s="23" t="s">
        <v>275</v>
      </c>
      <c r="D107" s="23">
        <v>30</v>
      </c>
      <c r="E107" s="23" t="s">
        <v>47</v>
      </c>
      <c r="F107" s="23" t="s">
        <v>78</v>
      </c>
    </row>
    <row r="108" spans="2:6" x14ac:dyDescent="0.2">
      <c r="B108" s="23" t="s">
        <v>171</v>
      </c>
      <c r="C108" s="23" t="s">
        <v>276</v>
      </c>
      <c r="D108" s="23">
        <v>32</v>
      </c>
      <c r="E108" s="23" t="s">
        <v>48</v>
      </c>
      <c r="F108" s="23" t="s">
        <v>74</v>
      </c>
    </row>
    <row r="109" spans="2:6" x14ac:dyDescent="0.2">
      <c r="B109" s="23" t="s">
        <v>172</v>
      </c>
      <c r="C109" s="23" t="s">
        <v>277</v>
      </c>
      <c r="D109" s="23">
        <v>29</v>
      </c>
      <c r="E109" s="23" t="s">
        <v>48</v>
      </c>
      <c r="F109" s="23" t="s">
        <v>77</v>
      </c>
    </row>
    <row r="110" spans="2:6" x14ac:dyDescent="0.2">
      <c r="B110" s="23" t="s">
        <v>173</v>
      </c>
      <c r="C110" s="23" t="s">
        <v>278</v>
      </c>
      <c r="D110" s="23">
        <v>38</v>
      </c>
      <c r="E110" s="23" t="s">
        <v>47</v>
      </c>
      <c r="F110" s="23" t="s">
        <v>77</v>
      </c>
    </row>
  </sheetData>
  <phoneticPr fontId="6" type="noConversion"/>
  <dataValidations count="2">
    <dataValidation type="list" allowBlank="1" showInputMessage="1" showErrorMessage="1" sqref="E5:E1048576" xr:uid="{BA203FC7-60C2-4930-BC5C-0F1E54998B4F}">
      <formula1>$H$5:$H$6</formula1>
    </dataValidation>
    <dataValidation type="list" allowBlank="1" showInputMessage="1" showErrorMessage="1" sqref="F5:F1048576" xr:uid="{868C8D04-9E61-4A45-B3EA-5972932D2896}">
      <formula1>Department</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903BD6CED16784C9848793BCB8A8B5C" ma:contentTypeVersion="13" ma:contentTypeDescription="Create a new document." ma:contentTypeScope="" ma:versionID="847bee06aa7b2a33407fac2f45700239">
  <xsd:schema xmlns:xsd="http://www.w3.org/2001/XMLSchema" xmlns:xs="http://www.w3.org/2001/XMLSchema" xmlns:p="http://schemas.microsoft.com/office/2006/metadata/properties" xmlns:ns3="dda6fff3-f3be-4414-8fe7-bdde5e113c2e" xmlns:ns4="cafdd227-729a-45e1-a1b3-6b82500adb76" targetNamespace="http://schemas.microsoft.com/office/2006/metadata/properties" ma:root="true" ma:fieldsID="b32395141e4195432d6adc35cd352e5e" ns3:_="" ns4:_="">
    <xsd:import namespace="dda6fff3-f3be-4414-8fe7-bdde5e113c2e"/>
    <xsd:import namespace="cafdd227-729a-45e1-a1b3-6b82500adb76"/>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DateTaken"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6fff3-f3be-4414-8fe7-bdde5e113c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afdd227-729a-45e1-a1b3-6b82500adb7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C5F4268-68C8-44DC-95E5-FC029D660991}">
  <ds:schemaRefs>
    <ds:schemaRef ds:uri="http://schemas.microsoft.com/office/2006/documentManagement/types"/>
    <ds:schemaRef ds:uri="http://schemas.openxmlformats.org/package/2006/metadata/core-properties"/>
    <ds:schemaRef ds:uri="http://www.w3.org/XML/1998/namespace"/>
    <ds:schemaRef ds:uri="http://purl.org/dc/elements/1.1/"/>
    <ds:schemaRef ds:uri="dda6fff3-f3be-4414-8fe7-bdde5e113c2e"/>
    <ds:schemaRef ds:uri="http://purl.org/dc/terms/"/>
    <ds:schemaRef ds:uri="http://purl.org/dc/dcmitype/"/>
    <ds:schemaRef ds:uri="http://schemas.microsoft.com/office/infopath/2007/PartnerControls"/>
    <ds:schemaRef ds:uri="cafdd227-729a-45e1-a1b3-6b82500adb76"/>
    <ds:schemaRef ds:uri="http://schemas.microsoft.com/office/2006/metadata/properties"/>
  </ds:schemaRefs>
</ds:datastoreItem>
</file>

<file path=customXml/itemProps2.xml><?xml version="1.0" encoding="utf-8"?>
<ds:datastoreItem xmlns:ds="http://schemas.openxmlformats.org/officeDocument/2006/customXml" ds:itemID="{456F8956-EF26-41EB-B1FF-C7AB00322EBB}">
  <ds:schemaRefs>
    <ds:schemaRef ds:uri="http://schemas.microsoft.com/sharepoint/v3/contenttype/forms"/>
  </ds:schemaRefs>
</ds:datastoreItem>
</file>

<file path=customXml/itemProps3.xml><?xml version="1.0" encoding="utf-8"?>
<ds:datastoreItem xmlns:ds="http://schemas.openxmlformats.org/officeDocument/2006/customXml" ds:itemID="{6F4E3719-A95F-4216-8AC5-A76BBA28C1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6fff3-f3be-4414-8fe7-bdde5e113c2e"/>
    <ds:schemaRef ds:uri="cafdd227-729a-45e1-a1b3-6b82500adb7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DocSecurity>0</DocSecurity>
  <ScaleCrop>false</ScaleCrop>
  <HeadingPairs>
    <vt:vector size="2" baseType="variant">
      <vt:variant>
        <vt:lpstr>Worksheets</vt:lpstr>
      </vt:variant>
      <vt:variant>
        <vt:i4>6</vt:i4>
      </vt:variant>
    </vt:vector>
  </HeadingPairs>
  <TitlesOfParts>
    <vt:vector size="6" baseType="lpstr">
      <vt:lpstr>Introduction</vt:lpstr>
      <vt:lpstr>Dashboard</vt:lpstr>
      <vt:lpstr>Sheet1</vt:lpstr>
      <vt:lpstr>COVID-19 Tracker</vt:lpstr>
      <vt:lpstr>COVID-19 Cases</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2020-12-02T20:52:53Z</cp:lastPrinted>
  <dcterms:created xsi:type="dcterms:W3CDTF">2020-08-23T16:46:06Z</dcterms:created>
  <dcterms:modified xsi:type="dcterms:W3CDTF">2023-06-24T06:57:51Z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0x0101002903BD6CED16784C9848793BCB8A8B5C</vt:lpwstr>
  </property>
</Properties>
</file>